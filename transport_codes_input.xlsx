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DavidHawkey\R projects\Energy and climate\lcfs_transport\"/>
    </mc:Choice>
  </mc:AlternateContent>
  <xr:revisionPtr revIDLastSave="0" documentId="13_ncr:1_{5BDCA304-D966-4155-84D0-E10BA079F5F6}" xr6:coauthVersionLast="47" xr6:coauthVersionMax="47" xr10:uidLastSave="{00000000-0000-0000-0000-000000000000}"/>
  <bookViews>
    <workbookView xWindow="-108" yWindow="-108" windowWidth="23256" windowHeight="12600" activeTab="3" xr2:uid="{00000000-000D-0000-FFFF-FFFF00000000}"/>
  </bookViews>
  <sheets>
    <sheet name="variable definitions" sheetId="1" r:id="rId1"/>
    <sheet name="variable labels" sheetId="3" r:id="rId2"/>
    <sheet name="Sheet1" sheetId="2" r:id="rId3"/>
    <sheet name="Motoring expenditure RP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4" l="1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4" i="4"/>
  <c r="A12" i="3"/>
  <c r="B12" i="3" a="1"/>
  <c r="B12" i="3" s="1"/>
  <c r="M53" i="1"/>
  <c r="M9" i="1"/>
  <c r="M7" i="1"/>
  <c r="M52" i="1"/>
  <c r="M51" i="1"/>
  <c r="M3" i="1"/>
  <c r="M4" i="1"/>
  <c r="M5" i="1"/>
  <c r="M6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2" i="1"/>
  <c r="A4" i="3"/>
  <c r="B4" i="3" a="1"/>
  <c r="B4" i="3" s="1"/>
  <c r="A5" i="3"/>
  <c r="A6" i="3" s="1"/>
  <c r="B5" i="3" a="1"/>
  <c r="B5" i="3" s="1"/>
  <c r="B3" i="3" a="1"/>
  <c r="B3" i="3" s="1"/>
  <c r="A3" i="3"/>
  <c r="B2" i="3" a="1"/>
  <c r="B2" i="3" s="1"/>
  <c r="B6" i="3" l="1" a="1"/>
  <c r="B6" i="3" s="1"/>
  <c r="A7" i="3"/>
  <c r="B7" i="3" l="1" a="1"/>
  <c r="B7" i="3" s="1"/>
  <c r="A8" i="3"/>
  <c r="B8" i="3" l="1" a="1"/>
  <c r="B8" i="3" s="1"/>
  <c r="A9" i="3"/>
  <c r="B9" i="3" l="1" a="1"/>
  <c r="B9" i="3" s="1"/>
  <c r="A10" i="3"/>
  <c r="B10" i="3" l="1" a="1"/>
  <c r="B10" i="3" s="1"/>
  <c r="A11" i="3"/>
  <c r="B11" i="3" l="1" a="1"/>
  <c r="B1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<sst xmlns="http://schemas.openxmlformats.org/spreadsheetml/2006/main" count="600" uniqueCount="195">
  <si>
    <t>variable</t>
  </si>
  <si>
    <t>description</t>
  </si>
  <si>
    <t>table</t>
  </si>
  <si>
    <t>coding_frame</t>
  </si>
  <si>
    <t>inUKDA</t>
  </si>
  <si>
    <t>b216</t>
  </si>
  <si>
    <t>Bus + tube and/or rail season</t>
  </si>
  <si>
    <t>dvhh</t>
  </si>
  <si>
    <t>Yes</t>
  </si>
  <si>
    <t>b217</t>
  </si>
  <si>
    <t>Season ticket - bus / coach - total net amount</t>
  </si>
  <si>
    <t>b218</t>
  </si>
  <si>
    <t>Season ticket - rail / tube - total net amount</t>
  </si>
  <si>
    <t>b219</t>
  </si>
  <si>
    <t>Water travel season ticket</t>
  </si>
  <si>
    <t>b244</t>
  </si>
  <si>
    <t>Vehicle - cost of new car | van outright</t>
  </si>
  <si>
    <t>b245</t>
  </si>
  <si>
    <t>Vehicle - cost of 2nd hand car | van outright</t>
  </si>
  <si>
    <t>b247</t>
  </si>
  <si>
    <t>Vehicle - cost of motorcycles outright</t>
  </si>
  <si>
    <t>b248</t>
  </si>
  <si>
    <t>Car leasing - expenditure on</t>
  </si>
  <si>
    <t>b249</t>
  </si>
  <si>
    <t>Car or van - servicing: amount paid</t>
  </si>
  <si>
    <t>b250</t>
  </si>
  <si>
    <t>Car or van - other works, repairs: amount paid</t>
  </si>
  <si>
    <t>b252</t>
  </si>
  <si>
    <t>Motorcycle - services, repairs: amount paid</t>
  </si>
  <si>
    <t>b487</t>
  </si>
  <si>
    <t>Domestic flight expenditure</t>
  </si>
  <si>
    <t>b488</t>
  </si>
  <si>
    <t>International flight expenditure</t>
  </si>
  <si>
    <t>c71111c</t>
  </si>
  <si>
    <t>Outright purchase of new car/van</t>
  </si>
  <si>
    <t>c71112t</t>
  </si>
  <si>
    <t>Loan / HP purchase of new car/van</t>
  </si>
  <si>
    <t>c71121c</t>
  </si>
  <si>
    <t>Outright purchase of second-hand car/van</t>
  </si>
  <si>
    <t>c71122t</t>
  </si>
  <si>
    <t>Loan / HP purchase of second-hand car/van</t>
  </si>
  <si>
    <t>c71211c</t>
  </si>
  <si>
    <t>Outright purchase of new or second-hand motorcycle</t>
  </si>
  <si>
    <t>c71212t</t>
  </si>
  <si>
    <t>Loan / HP purchase of new or second-hand motorcycle</t>
  </si>
  <si>
    <t>c71311t</t>
  </si>
  <si>
    <t>Purchase of bicycle</t>
  </si>
  <si>
    <t>c71411t</t>
  </si>
  <si>
    <t>Animal drawn vehicles</t>
  </si>
  <si>
    <t>c72111t</t>
  </si>
  <si>
    <t>Car van accessories and fittings</t>
  </si>
  <si>
    <t>c72112t</t>
  </si>
  <si>
    <t>Car / van spare parts</t>
  </si>
  <si>
    <t>c72113t</t>
  </si>
  <si>
    <t>Motorcycle accessories and spare parts</t>
  </si>
  <si>
    <t>c72114t</t>
  </si>
  <si>
    <t>Anti-freeze, battery water, cleaning materials</t>
  </si>
  <si>
    <t>c72115t</t>
  </si>
  <si>
    <t>Bicycle accessories, repairs and other costs</t>
  </si>
  <si>
    <t>c72211t</t>
  </si>
  <si>
    <t>Petrol</t>
  </si>
  <si>
    <t>c72212t</t>
  </si>
  <si>
    <t>Diesel oil</t>
  </si>
  <si>
    <t>c72213t</t>
  </si>
  <si>
    <t>Other motor oils</t>
  </si>
  <si>
    <t>c72311c</t>
  </si>
  <si>
    <t>Car or van repairs and servicing</t>
  </si>
  <si>
    <t>c72312c</t>
  </si>
  <si>
    <t>Motor cycle repairs, service</t>
  </si>
  <si>
    <t>c72313t</t>
  </si>
  <si>
    <t>Motoring organisation subscription (eg AA and RAC)</t>
  </si>
  <si>
    <t>c72314t</t>
  </si>
  <si>
    <t>Car washing and breakdown services</t>
  </si>
  <si>
    <t>c72411t</t>
  </si>
  <si>
    <t>Parking fees, tolls, and permits (excluding motoring fines)</t>
  </si>
  <si>
    <t>c72412t</t>
  </si>
  <si>
    <t>Garage rent, MOT etc</t>
  </si>
  <si>
    <t>c72413t</t>
  </si>
  <si>
    <t>Driving lessons</t>
  </si>
  <si>
    <t>c72414t</t>
  </si>
  <si>
    <t>Hire of self-drive cars, vans, bicycles</t>
  </si>
  <si>
    <t>c73112t</t>
  </si>
  <si>
    <t>Bus and coach fares other than season tickets</t>
  </si>
  <si>
    <t>c73212t</t>
  </si>
  <si>
    <t>c73213t</t>
  </si>
  <si>
    <t>Taxis and hired cars with drivers</t>
  </si>
  <si>
    <t>c73214t</t>
  </si>
  <si>
    <t>Other personal travel</t>
  </si>
  <si>
    <t>c73411t</t>
  </si>
  <si>
    <t>Water travel</t>
  </si>
  <si>
    <t>c73512t</t>
  </si>
  <si>
    <t>Combined fares other than season tickets</t>
  </si>
  <si>
    <t>c73513t</t>
  </si>
  <si>
    <t>School travel</t>
  </si>
  <si>
    <t>c73611t</t>
  </si>
  <si>
    <t>Delivery charges and other transport services</t>
  </si>
  <si>
    <t>pub_priv</t>
  </si>
  <si>
    <t>active</t>
  </si>
  <si>
    <t>taxi</t>
  </si>
  <si>
    <t>surface</t>
  </si>
  <si>
    <t>Notes</t>
  </si>
  <si>
    <t>c73611</t>
  </si>
  <si>
    <t/>
  </si>
  <si>
    <t>private</t>
  </si>
  <si>
    <t>motor</t>
  </si>
  <si>
    <t>not_taxi</t>
  </si>
  <si>
    <t>Not sure about this one - possibly ignore as we focus largely on personal travel?</t>
  </si>
  <si>
    <t>Air travel</t>
  </si>
  <si>
    <t>c73311</t>
  </si>
  <si>
    <t>Air fares (within UK)</t>
  </si>
  <si>
    <t>public</t>
  </si>
  <si>
    <t>air</t>
  </si>
  <si>
    <t>c73312</t>
  </si>
  <si>
    <t>Air fares (international)</t>
  </si>
  <si>
    <t>Public transport, cycling and other costs</t>
  </si>
  <si>
    <t>Public transport</t>
  </si>
  <si>
    <t>c73411</t>
  </si>
  <si>
    <t>c73512</t>
  </si>
  <si>
    <t>c73112</t>
  </si>
  <si>
    <t>Railway and tube fares other than season tickets</t>
  </si>
  <si>
    <t>c73212</t>
  </si>
  <si>
    <t>Cycling</t>
  </si>
  <si>
    <t>c71311</t>
  </si>
  <si>
    <t>c72115</t>
  </si>
  <si>
    <t>Other</t>
  </si>
  <si>
    <t>c73513</t>
  </si>
  <si>
    <t>c73214</t>
  </si>
  <si>
    <t>other</t>
  </si>
  <si>
    <t>c71411</t>
  </si>
  <si>
    <t>c72414</t>
  </si>
  <si>
    <t>Taxis and minicabs</t>
  </si>
  <si>
    <t>c73213</t>
  </si>
  <si>
    <t>Motoring</t>
  </si>
  <si>
    <t>Purchase or leasing of vehicles</t>
  </si>
  <si>
    <t>c71112</t>
  </si>
  <si>
    <t>c71122</t>
  </si>
  <si>
    <t>c71212</t>
  </si>
  <si>
    <t>Motor vehicle road taxation payments less refunds</t>
  </si>
  <si>
    <t>Operation of private vehicles</t>
  </si>
  <si>
    <t>c72111</t>
  </si>
  <si>
    <t>c72112</t>
  </si>
  <si>
    <t>c72113</t>
  </si>
  <si>
    <t>c72211</t>
  </si>
  <si>
    <t>c72212</t>
  </si>
  <si>
    <t>c72213</t>
  </si>
  <si>
    <t>c72313</t>
  </si>
  <si>
    <t>c72412</t>
  </si>
  <si>
    <t>c72411</t>
  </si>
  <si>
    <t>c72413</t>
  </si>
  <si>
    <t>c72314</t>
  </si>
  <si>
    <t>c72114</t>
  </si>
  <si>
    <t>Motoring fines</t>
  </si>
  <si>
    <t>Vehicle insurance</t>
  </si>
  <si>
    <t>air_travel</t>
  </si>
  <si>
    <t>air_travel_d</t>
  </si>
  <si>
    <t>air_travel_i</t>
  </si>
  <si>
    <t>cycling</t>
  </si>
  <si>
    <t>taxis</t>
  </si>
  <si>
    <t>index</t>
  </si>
  <si>
    <t>label</t>
  </si>
  <si>
    <t>Domestic air travel</t>
  </si>
  <si>
    <t>International air travel</t>
  </si>
  <si>
    <t>Other (school, personal, animal, hire)</t>
  </si>
  <si>
    <t>vehicle_purchase</t>
  </si>
  <si>
    <t>vehicle_running</t>
  </si>
  <si>
    <t>vehicle_total</t>
  </si>
  <si>
    <t>Total cost of private vehicles</t>
  </si>
  <si>
    <t>b187</t>
  </si>
  <si>
    <t>Vehicle road tax - amount paid last year</t>
  </si>
  <si>
    <t>b179</t>
  </si>
  <si>
    <t>Vehicle road tax - amount refunded last</t>
  </si>
  <si>
    <t>THIS VARIABLE IS NOT AVAILABLE IN THE EUL VERSION - USING TWO VARIABLES ABOUT LAST YEAR</t>
  </si>
  <si>
    <t>ck3112t</t>
  </si>
  <si>
    <t>Motoring Fines</t>
  </si>
  <si>
    <t>b188</t>
  </si>
  <si>
    <t>Vehicle insurance - amount paid last yea</t>
  </si>
  <si>
    <t>b2451</t>
  </si>
  <si>
    <t>Vehicle cost of 2nd hand motor caravan outright</t>
  </si>
  <si>
    <t>b2441</t>
  </si>
  <si>
    <t>Vehicle - cost of new motor caravan outright</t>
  </si>
  <si>
    <t>c92114t</t>
  </si>
  <si>
    <t>Purchase of motor caravan (new) - loan/HP</t>
  </si>
  <si>
    <t>c31315</t>
  </si>
  <si>
    <t>Protective head gear (crash helmets)</t>
  </si>
  <si>
    <t>c91112</t>
  </si>
  <si>
    <t>Audio equipment - in car</t>
  </si>
  <si>
    <t>c92114</t>
  </si>
  <si>
    <t>c92116</t>
  </si>
  <si>
    <t>Purchase of motor caravan (second-hand) - loan/HP</t>
  </si>
  <si>
    <t>P133</t>
  </si>
  <si>
    <t>Motoring expenditure - RPI definition, expenditure by adults only:‑</t>
  </si>
  <si>
    <t xml:space="preserve">P133c </t>
  </si>
  <si>
    <t>Motoring expenditure - RPI definition, expenditure by children only:‑</t>
  </si>
  <si>
    <t>public_excl_season</t>
  </si>
  <si>
    <t>Public excl season tickets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</si>
</sst>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 applyAlignment="1">
      <alignment horizontal="left"/>
    </xf>
    <xf numFmtId="0" fontId="0" fillId="9" borderId="0" xfId="0" applyFill="1"/>
    <xf numFmtId="0" fontId="2" fillId="9" borderId="0" xfId="0" applyFont="1" applyFill="1"/>
    <xf numFmtId="0" fontId="2" fillId="8" borderId="0" xfId="0" applyFont="1" applyFill="1"/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</cellXfs>
  <cellStyles count="2">
    <cellStyle name="Normal" xfId="0" builtinId="0"/>
    <cellStyle name="Normal 2" xfId="1" xr:uid="{08AC15D0-EEC7-4B3B-8AD2-515795E5121C}"/>
  </cellStyles>
  <dxfs count="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workbookViewId="0">
      <selection activeCell="A5" sqref="A5"/>
    </sheetView>
  </sheetViews>
  <sheetFormatPr defaultColWidth="11.44140625" defaultRowHeight="14.4" x14ac:dyDescent="0.3"/>
  <cols>
    <col min="2" max="2" width="53.5546875" bestFit="1" customWidth="1"/>
  </cols>
  <sheetData>
    <row r="1" spans="1:13" x14ac:dyDescent="0.3">
      <c r="A1" t="s">
        <v>0</v>
      </c>
      <c r="B1" t="s">
        <v>1</v>
      </c>
      <c r="C1" t="s">
        <v>153</v>
      </c>
      <c r="D1" t="s">
        <v>154</v>
      </c>
      <c r="E1" t="s">
        <v>155</v>
      </c>
      <c r="F1" t="s">
        <v>110</v>
      </c>
      <c r="G1" t="s">
        <v>193</v>
      </c>
      <c r="H1" t="s">
        <v>156</v>
      </c>
      <c r="I1" t="s">
        <v>127</v>
      </c>
      <c r="J1" t="s">
        <v>157</v>
      </c>
      <c r="K1" t="s">
        <v>163</v>
      </c>
      <c r="L1" t="s">
        <v>164</v>
      </c>
      <c r="M1" t="s">
        <v>165</v>
      </c>
    </row>
    <row r="2" spans="1:13" x14ac:dyDescent="0.3">
      <c r="A2" t="s">
        <v>5</v>
      </c>
      <c r="B2" t="s">
        <v>6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f>IF(K2=0,L2,K2)</f>
        <v>0</v>
      </c>
    </row>
    <row r="3" spans="1:13" x14ac:dyDescent="0.3">
      <c r="A3" t="s">
        <v>9</v>
      </c>
      <c r="B3" t="s">
        <v>10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f t="shared" ref="M3:M50" si="0">IF(K3=0,L3,K3)</f>
        <v>0</v>
      </c>
    </row>
    <row r="4" spans="1:13" x14ac:dyDescent="0.3">
      <c r="A4" t="s">
        <v>11</v>
      </c>
      <c r="B4" t="s">
        <v>12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 t="shared" si="0"/>
        <v>0</v>
      </c>
    </row>
    <row r="5" spans="1:13" x14ac:dyDescent="0.3">
      <c r="A5" t="s">
        <v>13</v>
      </c>
      <c r="B5" t="s">
        <v>14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f t="shared" si="0"/>
        <v>0</v>
      </c>
    </row>
    <row r="6" spans="1:13" x14ac:dyDescent="0.3">
      <c r="A6" t="s">
        <v>15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f t="shared" si="0"/>
        <v>1</v>
      </c>
    </row>
    <row r="7" spans="1:13" x14ac:dyDescent="0.3">
      <c r="A7" s="5" t="s">
        <v>178</v>
      </c>
      <c r="B7" t="s">
        <v>179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f t="shared" ref="M7" si="1">IF(K7=0,L7,K7)</f>
        <v>1</v>
      </c>
    </row>
    <row r="8" spans="1:13" x14ac:dyDescent="0.3">
      <c r="A8" t="s">
        <v>17</v>
      </c>
      <c r="B8" t="s">
        <v>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f t="shared" si="0"/>
        <v>1</v>
      </c>
    </row>
    <row r="9" spans="1:13" x14ac:dyDescent="0.3">
      <c r="A9" s="5" t="s">
        <v>176</v>
      </c>
      <c r="B9" t="s">
        <v>177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f t="shared" ref="M9" si="2">IF(K9=0,L9,K9)</f>
        <v>1</v>
      </c>
    </row>
    <row r="10" spans="1:13" x14ac:dyDescent="0.3">
      <c r="A10" t="s">
        <v>19</v>
      </c>
      <c r="B10" t="s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f t="shared" si="0"/>
        <v>1</v>
      </c>
    </row>
    <row r="11" spans="1:13" x14ac:dyDescent="0.3">
      <c r="A11" t="s">
        <v>21</v>
      </c>
      <c r="B11" t="s">
        <v>22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f t="shared" si="0"/>
        <v>1</v>
      </c>
    </row>
    <row r="12" spans="1:13" x14ac:dyDescent="0.3">
      <c r="A12" t="s">
        <v>23</v>
      </c>
      <c r="B12" t="s">
        <v>24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f t="shared" si="0"/>
        <v>1</v>
      </c>
    </row>
    <row r="13" spans="1:13" x14ac:dyDescent="0.3">
      <c r="A13" t="s">
        <v>25</v>
      </c>
      <c r="B13" t="s">
        <v>26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f t="shared" si="0"/>
        <v>1</v>
      </c>
    </row>
    <row r="14" spans="1:13" x14ac:dyDescent="0.3">
      <c r="A14" t="s">
        <v>27</v>
      </c>
      <c r="B14" t="s">
        <v>28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f t="shared" si="0"/>
        <v>1</v>
      </c>
    </row>
    <row r="15" spans="1:13" x14ac:dyDescent="0.3">
      <c r="A15" t="s">
        <v>29</v>
      </c>
      <c r="B15" t="s">
        <v>30</v>
      </c>
      <c r="C15">
        <v>1</v>
      </c>
      <c r="D15">
        <v>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f t="shared" si="0"/>
        <v>0</v>
      </c>
    </row>
    <row r="16" spans="1:13" x14ac:dyDescent="0.3">
      <c r="A16" t="s">
        <v>31</v>
      </c>
      <c r="B16" t="s">
        <v>32</v>
      </c>
      <c r="C16">
        <v>1</v>
      </c>
      <c r="D16">
        <v>0</v>
      </c>
      <c r="E16">
        <v>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 t="shared" si="0"/>
        <v>0</v>
      </c>
    </row>
    <row r="17" spans="1:13" x14ac:dyDescent="0.3">
      <c r="A17" t="s">
        <v>33</v>
      </c>
      <c r="B17" t="s">
        <v>34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0</v>
      </c>
      <c r="M17">
        <f t="shared" si="0"/>
        <v>1</v>
      </c>
    </row>
    <row r="18" spans="1:13" x14ac:dyDescent="0.3">
      <c r="A18" t="s">
        <v>35</v>
      </c>
      <c r="B18" t="s">
        <v>36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</v>
      </c>
      <c r="L18">
        <v>0</v>
      </c>
      <c r="M18">
        <f t="shared" si="0"/>
        <v>1</v>
      </c>
    </row>
    <row r="19" spans="1:13" x14ac:dyDescent="0.3">
      <c r="A19" t="s">
        <v>37</v>
      </c>
      <c r="B19" t="s">
        <v>38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0</v>
      </c>
      <c r="M19">
        <f t="shared" si="0"/>
        <v>1</v>
      </c>
    </row>
    <row r="20" spans="1:13" x14ac:dyDescent="0.3">
      <c r="A20" t="s">
        <v>39</v>
      </c>
      <c r="B20" t="s">
        <v>40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f t="shared" si="0"/>
        <v>1</v>
      </c>
    </row>
    <row r="21" spans="1:13" x14ac:dyDescent="0.3">
      <c r="A21" t="s">
        <v>41</v>
      </c>
      <c r="B21" t="s">
        <v>42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f t="shared" si="0"/>
        <v>1</v>
      </c>
    </row>
    <row r="22" spans="1:13" x14ac:dyDescent="0.3">
      <c r="A22" t="s">
        <v>43</v>
      </c>
      <c r="B22" t="s">
        <v>44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f t="shared" si="0"/>
        <v>1</v>
      </c>
    </row>
    <row r="23" spans="1:13" x14ac:dyDescent="0.3">
      <c r="A23" t="s">
        <v>45</v>
      </c>
      <c r="B23" t="s">
        <v>46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f t="shared" si="0"/>
        <v>0</v>
      </c>
    </row>
    <row r="24" spans="1:13" x14ac:dyDescent="0.3">
      <c r="A24" t="s">
        <v>47</v>
      </c>
      <c r="B24" t="s">
        <v>48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</v>
      </c>
      <c r="J24">
        <v>0</v>
      </c>
      <c r="K24">
        <v>0</v>
      </c>
      <c r="L24">
        <v>0</v>
      </c>
      <c r="M24">
        <f t="shared" si="0"/>
        <v>0</v>
      </c>
    </row>
    <row r="25" spans="1:13" x14ac:dyDescent="0.3">
      <c r="A25" t="s">
        <v>49</v>
      </c>
      <c r="B25" t="s">
        <v>50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f t="shared" si="0"/>
        <v>1</v>
      </c>
    </row>
    <row r="26" spans="1:13" x14ac:dyDescent="0.3">
      <c r="A26" t="s">
        <v>51</v>
      </c>
      <c r="B26" t="s">
        <v>52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</v>
      </c>
      <c r="M26">
        <f t="shared" si="0"/>
        <v>1</v>
      </c>
    </row>
    <row r="27" spans="1:13" x14ac:dyDescent="0.3">
      <c r="A27" t="s">
        <v>53</v>
      </c>
      <c r="B27" t="s">
        <v>54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</v>
      </c>
      <c r="M27">
        <f t="shared" si="0"/>
        <v>1</v>
      </c>
    </row>
    <row r="28" spans="1:13" x14ac:dyDescent="0.3">
      <c r="A28" t="s">
        <v>55</v>
      </c>
      <c r="B28" t="s">
        <v>56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</v>
      </c>
      <c r="M28">
        <f t="shared" si="0"/>
        <v>1</v>
      </c>
    </row>
    <row r="29" spans="1:13" x14ac:dyDescent="0.3">
      <c r="A29" t="s">
        <v>57</v>
      </c>
      <c r="B29" t="s">
        <v>58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f t="shared" si="0"/>
        <v>0</v>
      </c>
    </row>
    <row r="30" spans="1:13" x14ac:dyDescent="0.3">
      <c r="A30" t="s">
        <v>59</v>
      </c>
      <c r="B30" t="s">
        <v>60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1</v>
      </c>
      <c r="M30">
        <f t="shared" si="0"/>
        <v>1</v>
      </c>
    </row>
    <row r="31" spans="1:13" x14ac:dyDescent="0.3">
      <c r="A31" t="s">
        <v>61</v>
      </c>
      <c r="B31" t="s">
        <v>62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1</v>
      </c>
      <c r="M31">
        <f t="shared" si="0"/>
        <v>1</v>
      </c>
    </row>
    <row r="32" spans="1:13" x14ac:dyDescent="0.3">
      <c r="A32" t="s">
        <v>63</v>
      </c>
      <c r="B32" t="s">
        <v>64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1</v>
      </c>
      <c r="M32">
        <f t="shared" si="0"/>
        <v>1</v>
      </c>
    </row>
    <row r="33" spans="1:13" x14ac:dyDescent="0.3">
      <c r="A33" t="s">
        <v>65</v>
      </c>
      <c r="B33" t="s">
        <v>66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1</v>
      </c>
      <c r="M33">
        <f t="shared" si="0"/>
        <v>1</v>
      </c>
    </row>
    <row r="34" spans="1:13" x14ac:dyDescent="0.3">
      <c r="A34" t="s">
        <v>67</v>
      </c>
      <c r="B34" t="s">
        <v>68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  <c r="M34">
        <f t="shared" si="0"/>
        <v>1</v>
      </c>
    </row>
    <row r="35" spans="1:13" x14ac:dyDescent="0.3">
      <c r="A35" t="s">
        <v>69</v>
      </c>
      <c r="B35" t="s">
        <v>70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1</v>
      </c>
      <c r="M35">
        <f t="shared" si="0"/>
        <v>1</v>
      </c>
    </row>
    <row r="36" spans="1:13" x14ac:dyDescent="0.3">
      <c r="A36" t="s">
        <v>71</v>
      </c>
      <c r="B36" t="s">
        <v>72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f t="shared" si="0"/>
        <v>1</v>
      </c>
    </row>
    <row r="37" spans="1:13" x14ac:dyDescent="0.3">
      <c r="A37" t="s">
        <v>73</v>
      </c>
      <c r="B37" t="s">
        <v>74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1</v>
      </c>
      <c r="M37">
        <f t="shared" si="0"/>
        <v>1</v>
      </c>
    </row>
    <row r="38" spans="1:13" x14ac:dyDescent="0.3">
      <c r="A38" t="s">
        <v>75</v>
      </c>
      <c r="B38" t="s">
        <v>76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f t="shared" si="0"/>
        <v>1</v>
      </c>
    </row>
    <row r="39" spans="1:13" x14ac:dyDescent="0.3">
      <c r="A39" t="s">
        <v>77</v>
      </c>
      <c r="B39" t="s">
        <v>78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</v>
      </c>
      <c r="M39">
        <f t="shared" si="0"/>
        <v>1</v>
      </c>
    </row>
    <row r="40" spans="1:13" x14ac:dyDescent="0.3">
      <c r="A40" t="s">
        <v>79</v>
      </c>
      <c r="B40" t="s">
        <v>80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0</v>
      </c>
      <c r="K40">
        <v>0</v>
      </c>
      <c r="L40">
        <v>0</v>
      </c>
      <c r="M40">
        <f t="shared" si="0"/>
        <v>0</v>
      </c>
    </row>
    <row r="41" spans="1:13" x14ac:dyDescent="0.3">
      <c r="A41" t="s">
        <v>81</v>
      </c>
      <c r="B41" t="s">
        <v>82</v>
      </c>
      <c r="C41">
        <v>0</v>
      </c>
      <c r="D41">
        <v>0</v>
      </c>
      <c r="E41">
        <v>0</v>
      </c>
      <c r="F41">
        <v>1</v>
      </c>
      <c r="G41">
        <v>1</v>
      </c>
      <c r="H41">
        <v>0</v>
      </c>
      <c r="I41">
        <v>0</v>
      </c>
      <c r="J41">
        <v>0</v>
      </c>
      <c r="K41">
        <v>0</v>
      </c>
      <c r="L41">
        <v>0</v>
      </c>
      <c r="M41">
        <f t="shared" si="0"/>
        <v>0</v>
      </c>
    </row>
    <row r="42" spans="1:13" x14ac:dyDescent="0.3">
      <c r="A42" t="s">
        <v>83</v>
      </c>
      <c r="B42" t="s">
        <v>82</v>
      </c>
      <c r="C42">
        <v>0</v>
      </c>
      <c r="D42">
        <v>0</v>
      </c>
      <c r="E42">
        <v>0</v>
      </c>
      <c r="F42">
        <v>1</v>
      </c>
      <c r="G42">
        <v>1</v>
      </c>
      <c r="H42">
        <v>0</v>
      </c>
      <c r="I42">
        <v>0</v>
      </c>
      <c r="J42">
        <v>0</v>
      </c>
      <c r="K42">
        <v>0</v>
      </c>
      <c r="L42">
        <v>0</v>
      </c>
      <c r="M42">
        <f t="shared" si="0"/>
        <v>0</v>
      </c>
    </row>
    <row r="43" spans="1:13" x14ac:dyDescent="0.3">
      <c r="A43" t="s">
        <v>84</v>
      </c>
      <c r="B43" t="s">
        <v>85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f t="shared" si="0"/>
        <v>0</v>
      </c>
    </row>
    <row r="44" spans="1:13" x14ac:dyDescent="0.3">
      <c r="A44" t="s">
        <v>86</v>
      </c>
      <c r="B44" t="s">
        <v>87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1</v>
      </c>
      <c r="J44">
        <v>0</v>
      </c>
      <c r="K44">
        <v>0</v>
      </c>
      <c r="L44">
        <v>0</v>
      </c>
      <c r="M44">
        <f t="shared" si="0"/>
        <v>0</v>
      </c>
    </row>
    <row r="45" spans="1:13" x14ac:dyDescent="0.3">
      <c r="A45" t="s">
        <v>88</v>
      </c>
      <c r="B45" t="s">
        <v>89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f t="shared" si="0"/>
        <v>0</v>
      </c>
    </row>
    <row r="46" spans="1:13" x14ac:dyDescent="0.3">
      <c r="A46" t="s">
        <v>90</v>
      </c>
      <c r="B46" t="s">
        <v>91</v>
      </c>
      <c r="C46">
        <v>0</v>
      </c>
      <c r="D46">
        <v>0</v>
      </c>
      <c r="E46">
        <v>0</v>
      </c>
      <c r="F46">
        <v>1</v>
      </c>
      <c r="G46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f t="shared" si="0"/>
        <v>0</v>
      </c>
    </row>
    <row r="47" spans="1:13" x14ac:dyDescent="0.3">
      <c r="A47" t="s">
        <v>92</v>
      </c>
      <c r="B47" t="s">
        <v>93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1</v>
      </c>
      <c r="J47">
        <v>0</v>
      </c>
      <c r="K47">
        <v>0</v>
      </c>
      <c r="L47">
        <v>0</v>
      </c>
      <c r="M47">
        <f t="shared" si="0"/>
        <v>0</v>
      </c>
    </row>
    <row r="48" spans="1:13" x14ac:dyDescent="0.3">
      <c r="A48" t="s">
        <v>94</v>
      </c>
      <c r="B48" t="s">
        <v>95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f t="shared" si="0"/>
        <v>0</v>
      </c>
    </row>
    <row r="49" spans="1:13" x14ac:dyDescent="0.3">
      <c r="A49" t="s">
        <v>167</v>
      </c>
      <c r="B49" t="s">
        <v>168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1</v>
      </c>
      <c r="L49">
        <v>0</v>
      </c>
      <c r="M49">
        <f t="shared" si="0"/>
        <v>1</v>
      </c>
    </row>
    <row r="50" spans="1:13" x14ac:dyDescent="0.3">
      <c r="A50" t="s">
        <v>169</v>
      </c>
      <c r="B50" t="s">
        <v>170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-1</v>
      </c>
      <c r="L50">
        <v>0</v>
      </c>
      <c r="M50">
        <f t="shared" si="0"/>
        <v>-1</v>
      </c>
    </row>
    <row r="51" spans="1:13" x14ac:dyDescent="0.3">
      <c r="A51" t="s">
        <v>172</v>
      </c>
      <c r="B51" t="s">
        <v>173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1</v>
      </c>
      <c r="M51">
        <f t="shared" ref="M51" si="3">IF(K51=0,L51,K51)</f>
        <v>1</v>
      </c>
    </row>
    <row r="52" spans="1:13" x14ac:dyDescent="0.3">
      <c r="A52" t="s">
        <v>174</v>
      </c>
      <c r="B52" t="s">
        <v>175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1</v>
      </c>
      <c r="M52">
        <f t="shared" ref="M52" si="4">IF(K52=0,L52,K52)</f>
        <v>1</v>
      </c>
    </row>
    <row r="53" spans="1:13" x14ac:dyDescent="0.3">
      <c r="A53" t="s">
        <v>180</v>
      </c>
      <c r="B53" t="s">
        <v>181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1</v>
      </c>
      <c r="L53">
        <v>0</v>
      </c>
      <c r="M53">
        <f t="shared" ref="M53" si="5">IF(K53=0,L53,K53)</f>
        <v>1</v>
      </c>
    </row>
  </sheetData>
  <conditionalFormatting sqref="C2:M53">
    <cfRule type="cellIs" dxfId="4" priority="1" operator="equal">
      <formula>-1</formula>
    </cfRule>
    <cfRule type="cellIs" dxfId="3" priority="2" operator="equal">
      <formula>1</formula>
    </cfRule>
    <cfRule type="cellIs" dxfId="2" priority="3" operator="equal">
      <formula>"TURE"</formula>
    </cfRule>
  </conditionalFormatting>
  <conditionalFormatting sqref="D1:M1 C1:C48 C54:C1048576">
    <cfRule type="cellIs" dxfId="1" priority="8" operator="equal">
      <formula>1</formula>
    </cfRule>
    <cfRule type="cellIs" dxfId="0" priority="9" operator="equal">
      <formula>"TURE"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9E028-8484-49CA-A937-F71C95C091CC}">
  <dimension ref="A1:C12"/>
  <sheetViews>
    <sheetView workbookViewId="0">
      <selection activeCell="J19" sqref="J19"/>
    </sheetView>
  </sheetViews>
  <sheetFormatPr defaultRowHeight="14.4" x14ac:dyDescent="0.3"/>
  <sheetData>
    <row r="1" spans="1:3" x14ac:dyDescent="0.3">
      <c r="A1" t="s">
        <v>158</v>
      </c>
      <c r="B1" t="s">
        <v>0</v>
      </c>
      <c r="C1" t="s">
        <v>159</v>
      </c>
    </row>
    <row r="2" spans="1:3" x14ac:dyDescent="0.3">
      <c r="A2">
        <v>1</v>
      </c>
      <c r="B2" t="str" cm="1">
        <f t="array" ref="B2">INDEX('variable definitions'!$1:$1,2+A2)</f>
        <v>air_travel</v>
      </c>
      <c r="C2" t="s">
        <v>107</v>
      </c>
    </row>
    <row r="3" spans="1:3" x14ac:dyDescent="0.3">
      <c r="A3">
        <f>A2+1</f>
        <v>2</v>
      </c>
      <c r="B3" t="str" cm="1">
        <f t="array" ref="B3">INDEX('variable definitions'!$1:$1,2+A3)</f>
        <v>air_travel_d</v>
      </c>
      <c r="C3" t="s">
        <v>160</v>
      </c>
    </row>
    <row r="4" spans="1:3" x14ac:dyDescent="0.3">
      <c r="A4">
        <f t="shared" ref="A4:A12" si="0">A3+1</f>
        <v>3</v>
      </c>
      <c r="B4" t="str" cm="1">
        <f t="array" ref="B4">INDEX('variable definitions'!$1:$1,2+A4)</f>
        <v>air_travel_i</v>
      </c>
      <c r="C4" t="s">
        <v>161</v>
      </c>
    </row>
    <row r="5" spans="1:3" x14ac:dyDescent="0.3">
      <c r="A5">
        <f t="shared" si="0"/>
        <v>4</v>
      </c>
      <c r="B5" t="str" cm="1">
        <f t="array" ref="B5">INDEX('variable definitions'!$1:$1,2+A5)</f>
        <v>public</v>
      </c>
      <c r="C5" t="s">
        <v>115</v>
      </c>
    </row>
    <row r="6" spans="1:3" x14ac:dyDescent="0.3">
      <c r="A6">
        <f t="shared" si="0"/>
        <v>5</v>
      </c>
      <c r="B6" t="str" cm="1">
        <f t="array" ref="B6">INDEX('variable definitions'!$1:$1,2+A6)</f>
        <v>public_excl_season</v>
      </c>
      <c r="C6" t="s">
        <v>194</v>
      </c>
    </row>
    <row r="7" spans="1:3" x14ac:dyDescent="0.3">
      <c r="A7">
        <f t="shared" si="0"/>
        <v>6</v>
      </c>
      <c r="B7" t="str" cm="1">
        <f t="array" ref="B7">INDEX('variable definitions'!$1:$1,2+A7)</f>
        <v>cycling</v>
      </c>
      <c r="C7" t="s">
        <v>121</v>
      </c>
    </row>
    <row r="8" spans="1:3" x14ac:dyDescent="0.3">
      <c r="A8">
        <f t="shared" si="0"/>
        <v>7</v>
      </c>
      <c r="B8" t="str" cm="1">
        <f t="array" ref="B8">INDEX('variable definitions'!$1:$1,2+A8)</f>
        <v>other</v>
      </c>
      <c r="C8" t="s">
        <v>162</v>
      </c>
    </row>
    <row r="9" spans="1:3" x14ac:dyDescent="0.3">
      <c r="A9">
        <f t="shared" si="0"/>
        <v>8</v>
      </c>
      <c r="B9" t="str" cm="1">
        <f t="array" ref="B9">INDEX('variable definitions'!$1:$1,2+A9)</f>
        <v>taxis</v>
      </c>
      <c r="C9" t="s">
        <v>130</v>
      </c>
    </row>
    <row r="10" spans="1:3" x14ac:dyDescent="0.3">
      <c r="A10">
        <f t="shared" si="0"/>
        <v>9</v>
      </c>
      <c r="B10" t="str" cm="1">
        <f t="array" ref="B10">INDEX('variable definitions'!$1:$1,2+A10)</f>
        <v>vehicle_purchase</v>
      </c>
      <c r="C10" t="s">
        <v>133</v>
      </c>
    </row>
    <row r="11" spans="1:3" x14ac:dyDescent="0.3">
      <c r="A11">
        <f t="shared" si="0"/>
        <v>10</v>
      </c>
      <c r="B11" t="str" cm="1">
        <f t="array" ref="B11">INDEX('variable definitions'!$1:$1,2+A11)</f>
        <v>vehicle_running</v>
      </c>
      <c r="C11" t="s">
        <v>138</v>
      </c>
    </row>
    <row r="12" spans="1:3" x14ac:dyDescent="0.3">
      <c r="A12">
        <f t="shared" si="0"/>
        <v>11</v>
      </c>
      <c r="B12" t="str" cm="1">
        <f t="array" ref="B12">INDEX('variable definitions'!$1:$1,2+A12)</f>
        <v>vehicle_total</v>
      </c>
      <c r="C12" t="s">
        <v>166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B85F2-9703-4590-966E-4096963F5548}">
  <dimension ref="A1:J57"/>
  <sheetViews>
    <sheetView topLeftCell="A33" workbookViewId="0">
      <selection activeCell="I56" sqref="I56"/>
    </sheetView>
  </sheetViews>
  <sheetFormatPr defaultRowHeight="14.4" x14ac:dyDescent="0.3"/>
  <cols>
    <col min="2" max="2" width="53.5546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</row>
    <row r="2" spans="1:10" x14ac:dyDescent="0.3">
      <c r="A2" t="s">
        <v>101</v>
      </c>
      <c r="B2" t="s">
        <v>95</v>
      </c>
      <c r="C2" t="s">
        <v>7</v>
      </c>
      <c r="D2" t="s">
        <v>102</v>
      </c>
      <c r="E2" t="s">
        <v>8</v>
      </c>
      <c r="F2" t="s">
        <v>103</v>
      </c>
      <c r="G2" t="s">
        <v>104</v>
      </c>
      <c r="H2" t="s">
        <v>105</v>
      </c>
      <c r="I2" t="s">
        <v>99</v>
      </c>
      <c r="J2" t="s">
        <v>106</v>
      </c>
    </row>
    <row r="4" spans="1:10" x14ac:dyDescent="0.3">
      <c r="A4" s="13" t="s">
        <v>107</v>
      </c>
      <c r="B4" s="13"/>
      <c r="C4" s="13"/>
      <c r="D4" s="13"/>
      <c r="E4" s="13"/>
      <c r="F4" s="13"/>
      <c r="G4" s="13"/>
      <c r="H4" s="13"/>
      <c r="I4" s="13"/>
    </row>
    <row r="5" spans="1:10" x14ac:dyDescent="0.3">
      <c r="A5" t="s">
        <v>108</v>
      </c>
      <c r="B5" t="s">
        <v>109</v>
      </c>
      <c r="C5" t="s">
        <v>7</v>
      </c>
      <c r="D5" t="s">
        <v>102</v>
      </c>
      <c r="E5" t="s">
        <v>8</v>
      </c>
      <c r="F5" t="s">
        <v>110</v>
      </c>
      <c r="G5" t="s">
        <v>104</v>
      </c>
      <c r="H5" t="s">
        <v>105</v>
      </c>
      <c r="I5" t="s">
        <v>111</v>
      </c>
    </row>
    <row r="6" spans="1:10" x14ac:dyDescent="0.3">
      <c r="A6" t="s">
        <v>112</v>
      </c>
      <c r="B6" t="s">
        <v>113</v>
      </c>
      <c r="C6" t="s">
        <v>7</v>
      </c>
      <c r="D6" t="s">
        <v>102</v>
      </c>
      <c r="E6" t="s">
        <v>8</v>
      </c>
      <c r="F6" t="s">
        <v>110</v>
      </c>
      <c r="G6" t="s">
        <v>104</v>
      </c>
      <c r="H6" t="s">
        <v>105</v>
      </c>
      <c r="I6" t="s">
        <v>111</v>
      </c>
    </row>
    <row r="8" spans="1:10" x14ac:dyDescent="0.3">
      <c r="A8" s="12" t="s">
        <v>114</v>
      </c>
      <c r="B8" s="12"/>
      <c r="C8" s="12"/>
      <c r="D8" s="12"/>
      <c r="E8" s="12"/>
      <c r="F8" s="12"/>
      <c r="G8" s="12"/>
      <c r="H8" s="12"/>
      <c r="I8" s="12"/>
    </row>
    <row r="9" spans="1:10" x14ac:dyDescent="0.3">
      <c r="A9" s="7" t="s">
        <v>115</v>
      </c>
      <c r="B9" s="7"/>
      <c r="C9" s="7"/>
      <c r="D9" s="7"/>
      <c r="E9" s="7"/>
      <c r="F9" s="7"/>
      <c r="G9" s="7"/>
      <c r="H9" s="7"/>
      <c r="I9" s="7"/>
    </row>
    <row r="10" spans="1:10" x14ac:dyDescent="0.3">
      <c r="A10" t="s">
        <v>5</v>
      </c>
      <c r="B10" t="s">
        <v>6</v>
      </c>
      <c r="C10" t="s">
        <v>7</v>
      </c>
      <c r="D10" t="s">
        <v>102</v>
      </c>
      <c r="E10" t="s">
        <v>8</v>
      </c>
      <c r="F10" t="s">
        <v>110</v>
      </c>
      <c r="G10" t="s">
        <v>104</v>
      </c>
      <c r="H10" t="s">
        <v>105</v>
      </c>
      <c r="I10" t="s">
        <v>99</v>
      </c>
    </row>
    <row r="11" spans="1:10" x14ac:dyDescent="0.3">
      <c r="A11" t="s">
        <v>9</v>
      </c>
      <c r="B11" t="s">
        <v>10</v>
      </c>
      <c r="C11" t="s">
        <v>7</v>
      </c>
      <c r="D11" t="s">
        <v>102</v>
      </c>
      <c r="E11" t="s">
        <v>8</v>
      </c>
      <c r="F11" t="s">
        <v>110</v>
      </c>
      <c r="G11" t="s">
        <v>104</v>
      </c>
      <c r="H11" t="s">
        <v>105</v>
      </c>
      <c r="I11" t="s">
        <v>99</v>
      </c>
    </row>
    <row r="12" spans="1:10" x14ac:dyDescent="0.3">
      <c r="A12" t="s">
        <v>11</v>
      </c>
      <c r="B12" t="s">
        <v>12</v>
      </c>
      <c r="C12" t="s">
        <v>7</v>
      </c>
      <c r="D12" t="s">
        <v>102</v>
      </c>
      <c r="E12" t="s">
        <v>8</v>
      </c>
      <c r="F12" t="s">
        <v>110</v>
      </c>
      <c r="G12" t="s">
        <v>104</v>
      </c>
      <c r="H12" t="s">
        <v>105</v>
      </c>
      <c r="I12" t="s">
        <v>99</v>
      </c>
    </row>
    <row r="13" spans="1:10" x14ac:dyDescent="0.3">
      <c r="A13" t="s">
        <v>116</v>
      </c>
      <c r="B13" t="s">
        <v>89</v>
      </c>
      <c r="C13" t="s">
        <v>7</v>
      </c>
      <c r="D13" t="s">
        <v>102</v>
      </c>
      <c r="E13" t="s">
        <v>8</v>
      </c>
      <c r="F13" t="s">
        <v>110</v>
      </c>
      <c r="G13" t="s">
        <v>104</v>
      </c>
      <c r="H13" t="s">
        <v>105</v>
      </c>
      <c r="I13" t="s">
        <v>99</v>
      </c>
    </row>
    <row r="14" spans="1:10" x14ac:dyDescent="0.3">
      <c r="A14" t="s">
        <v>117</v>
      </c>
      <c r="B14" t="s">
        <v>91</v>
      </c>
      <c r="C14" t="s">
        <v>7</v>
      </c>
      <c r="D14" t="s">
        <v>102</v>
      </c>
      <c r="E14" t="s">
        <v>8</v>
      </c>
      <c r="F14" t="s">
        <v>110</v>
      </c>
      <c r="G14" t="s">
        <v>104</v>
      </c>
      <c r="H14" t="s">
        <v>105</v>
      </c>
      <c r="I14" t="s">
        <v>99</v>
      </c>
    </row>
    <row r="15" spans="1:10" x14ac:dyDescent="0.3">
      <c r="A15" t="s">
        <v>118</v>
      </c>
      <c r="B15" t="s">
        <v>119</v>
      </c>
      <c r="C15" t="s">
        <v>7</v>
      </c>
      <c r="D15" t="s">
        <v>102</v>
      </c>
      <c r="E15" t="s">
        <v>8</v>
      </c>
      <c r="F15" t="s">
        <v>110</v>
      </c>
      <c r="G15" t="s">
        <v>104</v>
      </c>
      <c r="H15" t="s">
        <v>105</v>
      </c>
      <c r="I15" t="s">
        <v>99</v>
      </c>
    </row>
    <row r="16" spans="1:10" x14ac:dyDescent="0.3">
      <c r="A16" t="s">
        <v>120</v>
      </c>
      <c r="B16" t="s">
        <v>82</v>
      </c>
      <c r="C16" t="s">
        <v>7</v>
      </c>
      <c r="D16" t="s">
        <v>102</v>
      </c>
      <c r="E16" t="s">
        <v>8</v>
      </c>
      <c r="F16" t="s">
        <v>110</v>
      </c>
      <c r="G16" t="s">
        <v>104</v>
      </c>
      <c r="H16" t="s">
        <v>105</v>
      </c>
      <c r="I16" t="s">
        <v>99</v>
      </c>
    </row>
    <row r="17" spans="1:9" x14ac:dyDescent="0.3">
      <c r="A17" t="s">
        <v>13</v>
      </c>
      <c r="B17" t="s">
        <v>14</v>
      </c>
      <c r="C17" t="s">
        <v>7</v>
      </c>
      <c r="D17" t="s">
        <v>102</v>
      </c>
      <c r="E17" t="s">
        <v>8</v>
      </c>
      <c r="F17" t="s">
        <v>110</v>
      </c>
      <c r="G17" t="s">
        <v>104</v>
      </c>
      <c r="H17" t="s">
        <v>105</v>
      </c>
      <c r="I17" t="s">
        <v>99</v>
      </c>
    </row>
    <row r="18" spans="1:9" x14ac:dyDescent="0.3">
      <c r="A18" s="9" t="s">
        <v>121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t="s">
        <v>122</v>
      </c>
      <c r="B19" t="s">
        <v>46</v>
      </c>
      <c r="C19" t="s">
        <v>7</v>
      </c>
      <c r="D19" t="s">
        <v>102</v>
      </c>
      <c r="E19" t="s">
        <v>8</v>
      </c>
      <c r="F19" t="s">
        <v>103</v>
      </c>
      <c r="G19" t="s">
        <v>97</v>
      </c>
      <c r="H19" t="s">
        <v>105</v>
      </c>
      <c r="I19" t="s">
        <v>99</v>
      </c>
    </row>
    <row r="20" spans="1:9" x14ac:dyDescent="0.3">
      <c r="A20" t="s">
        <v>123</v>
      </c>
      <c r="B20" t="s">
        <v>58</v>
      </c>
      <c r="C20" t="s">
        <v>7</v>
      </c>
      <c r="D20" t="s">
        <v>102</v>
      </c>
      <c r="E20" t="s">
        <v>8</v>
      </c>
      <c r="F20" t="s">
        <v>103</v>
      </c>
      <c r="G20" t="s">
        <v>97</v>
      </c>
      <c r="H20" t="s">
        <v>105</v>
      </c>
      <c r="I20" t="s">
        <v>99</v>
      </c>
    </row>
    <row r="21" spans="1:9" x14ac:dyDescent="0.3">
      <c r="A21" s="9" t="s">
        <v>124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t="s">
        <v>125</v>
      </c>
      <c r="B22" t="s">
        <v>93</v>
      </c>
      <c r="C22" t="s">
        <v>7</v>
      </c>
      <c r="D22" t="s">
        <v>102</v>
      </c>
      <c r="E22" t="s">
        <v>8</v>
      </c>
      <c r="F22" t="s">
        <v>110</v>
      </c>
      <c r="G22" t="s">
        <v>104</v>
      </c>
      <c r="H22" t="s">
        <v>105</v>
      </c>
      <c r="I22" t="s">
        <v>99</v>
      </c>
    </row>
    <row r="23" spans="1:9" x14ac:dyDescent="0.3">
      <c r="A23" t="s">
        <v>126</v>
      </c>
      <c r="B23" t="s">
        <v>87</v>
      </c>
      <c r="C23" t="s">
        <v>7</v>
      </c>
      <c r="D23" t="s">
        <v>102</v>
      </c>
      <c r="E23" t="s">
        <v>8</v>
      </c>
      <c r="F23" t="s">
        <v>103</v>
      </c>
      <c r="G23" t="s">
        <v>127</v>
      </c>
      <c r="H23" t="s">
        <v>105</v>
      </c>
      <c r="I23" t="s">
        <v>99</v>
      </c>
    </row>
    <row r="24" spans="1:9" x14ac:dyDescent="0.3">
      <c r="A24" t="s">
        <v>128</v>
      </c>
      <c r="B24" t="s">
        <v>48</v>
      </c>
      <c r="C24" t="s">
        <v>7</v>
      </c>
      <c r="D24" t="s">
        <v>102</v>
      </c>
      <c r="E24" t="s">
        <v>8</v>
      </c>
      <c r="F24" t="s">
        <v>103</v>
      </c>
      <c r="G24" t="s">
        <v>127</v>
      </c>
      <c r="H24" t="s">
        <v>105</v>
      </c>
      <c r="I24" t="s">
        <v>99</v>
      </c>
    </row>
    <row r="25" spans="1:9" x14ac:dyDescent="0.3">
      <c r="A25" t="s">
        <v>129</v>
      </c>
      <c r="B25" t="s">
        <v>80</v>
      </c>
      <c r="C25" t="s">
        <v>7</v>
      </c>
      <c r="D25" t="s">
        <v>102</v>
      </c>
      <c r="E25" t="s">
        <v>8</v>
      </c>
      <c r="F25" t="s">
        <v>103</v>
      </c>
      <c r="G25" t="s">
        <v>104</v>
      </c>
      <c r="H25" t="s">
        <v>105</v>
      </c>
      <c r="I25" t="s">
        <v>99</v>
      </c>
    </row>
    <row r="27" spans="1:9" x14ac:dyDescent="0.3">
      <c r="A27" s="10" t="s">
        <v>130</v>
      </c>
      <c r="B27" s="6"/>
      <c r="C27" s="6"/>
      <c r="D27" s="6"/>
      <c r="E27" s="6"/>
      <c r="F27" s="6"/>
      <c r="G27" s="6"/>
      <c r="H27" s="6"/>
      <c r="I27" s="6"/>
    </row>
    <row r="28" spans="1:9" x14ac:dyDescent="0.3">
      <c r="A28" t="s">
        <v>131</v>
      </c>
      <c r="B28" t="s">
        <v>85</v>
      </c>
      <c r="C28" t="s">
        <v>7</v>
      </c>
      <c r="D28" t="s">
        <v>102</v>
      </c>
      <c r="E28" t="s">
        <v>8</v>
      </c>
      <c r="F28" s="5" t="s">
        <v>103</v>
      </c>
      <c r="G28" t="s">
        <v>104</v>
      </c>
      <c r="H28" t="s">
        <v>98</v>
      </c>
      <c r="I28" t="s">
        <v>99</v>
      </c>
    </row>
    <row r="30" spans="1:9" x14ac:dyDescent="0.3">
      <c r="A30" s="11" t="s">
        <v>132</v>
      </c>
      <c r="B30" s="11"/>
      <c r="C30" s="11"/>
      <c r="D30" s="11"/>
      <c r="E30" s="11"/>
      <c r="F30" s="11"/>
      <c r="G30" s="11"/>
      <c r="H30" s="11"/>
      <c r="I30" s="11"/>
    </row>
    <row r="31" spans="1:9" x14ac:dyDescent="0.3">
      <c r="A31" s="3" t="s">
        <v>133</v>
      </c>
      <c r="B31" s="4"/>
      <c r="C31" s="4"/>
      <c r="D31" s="4"/>
      <c r="E31" s="4"/>
      <c r="F31" s="4"/>
      <c r="G31" s="4"/>
      <c r="H31" s="4"/>
      <c r="I31" s="4"/>
    </row>
    <row r="32" spans="1:9" x14ac:dyDescent="0.3">
      <c r="A32" t="s">
        <v>15</v>
      </c>
      <c r="B32" t="s">
        <v>16</v>
      </c>
      <c r="C32" t="s">
        <v>7</v>
      </c>
      <c r="D32" t="s">
        <v>102</v>
      </c>
      <c r="E32" t="s">
        <v>8</v>
      </c>
      <c r="F32" t="s">
        <v>103</v>
      </c>
      <c r="G32" t="s">
        <v>104</v>
      </c>
      <c r="H32" t="s">
        <v>105</v>
      </c>
      <c r="I32" t="s">
        <v>99</v>
      </c>
    </row>
    <row r="33" spans="1:10" x14ac:dyDescent="0.3">
      <c r="A33" t="s">
        <v>17</v>
      </c>
      <c r="B33" t="s">
        <v>18</v>
      </c>
      <c r="C33" t="s">
        <v>7</v>
      </c>
      <c r="D33" t="s">
        <v>102</v>
      </c>
      <c r="E33" t="s">
        <v>8</v>
      </c>
      <c r="F33" t="s">
        <v>103</v>
      </c>
      <c r="G33" t="s">
        <v>104</v>
      </c>
      <c r="H33" t="s">
        <v>105</v>
      </c>
      <c r="I33" t="s">
        <v>99</v>
      </c>
    </row>
    <row r="34" spans="1:10" x14ac:dyDescent="0.3">
      <c r="A34" t="s">
        <v>19</v>
      </c>
      <c r="B34" t="s">
        <v>20</v>
      </c>
      <c r="C34" t="s">
        <v>7</v>
      </c>
      <c r="D34" t="s">
        <v>102</v>
      </c>
      <c r="E34" t="s">
        <v>8</v>
      </c>
      <c r="F34" t="s">
        <v>103</v>
      </c>
      <c r="G34" t="s">
        <v>104</v>
      </c>
      <c r="H34" t="s">
        <v>105</v>
      </c>
      <c r="I34" t="s">
        <v>99</v>
      </c>
    </row>
    <row r="35" spans="1:10" x14ac:dyDescent="0.3">
      <c r="A35" t="s">
        <v>134</v>
      </c>
      <c r="B35" t="s">
        <v>36</v>
      </c>
      <c r="C35" t="s">
        <v>7</v>
      </c>
      <c r="D35" t="s">
        <v>102</v>
      </c>
      <c r="E35" t="s">
        <v>8</v>
      </c>
      <c r="F35" t="s">
        <v>103</v>
      </c>
      <c r="G35" t="s">
        <v>104</v>
      </c>
      <c r="H35" t="s">
        <v>105</v>
      </c>
      <c r="I35" t="s">
        <v>99</v>
      </c>
    </row>
    <row r="36" spans="1:10" x14ac:dyDescent="0.3">
      <c r="A36" t="s">
        <v>135</v>
      </c>
      <c r="B36" t="s">
        <v>40</v>
      </c>
      <c r="C36" t="s">
        <v>7</v>
      </c>
      <c r="D36" t="s">
        <v>102</v>
      </c>
      <c r="E36" t="s">
        <v>8</v>
      </c>
      <c r="F36" t="s">
        <v>103</v>
      </c>
      <c r="G36" t="s">
        <v>104</v>
      </c>
      <c r="H36" t="s">
        <v>105</v>
      </c>
      <c r="I36" t="s">
        <v>99</v>
      </c>
    </row>
    <row r="37" spans="1:10" x14ac:dyDescent="0.3">
      <c r="A37" t="s">
        <v>136</v>
      </c>
      <c r="B37" t="s">
        <v>44</v>
      </c>
      <c r="C37" t="s">
        <v>7</v>
      </c>
      <c r="D37" t="s">
        <v>102</v>
      </c>
      <c r="E37" t="s">
        <v>8</v>
      </c>
      <c r="F37" t="s">
        <v>103</v>
      </c>
      <c r="G37" t="s">
        <v>104</v>
      </c>
      <c r="H37" t="s">
        <v>105</v>
      </c>
      <c r="I37" t="s">
        <v>99</v>
      </c>
    </row>
    <row r="38" spans="1:10" x14ac:dyDescent="0.3">
      <c r="B38" s="2" t="s">
        <v>137</v>
      </c>
      <c r="J38" t="s">
        <v>171</v>
      </c>
    </row>
    <row r="39" spans="1:10" x14ac:dyDescent="0.3">
      <c r="A39" t="s">
        <v>21</v>
      </c>
      <c r="B39" t="s">
        <v>22</v>
      </c>
      <c r="C39" t="s">
        <v>7</v>
      </c>
      <c r="D39" t="s">
        <v>102</v>
      </c>
      <c r="E39" t="s">
        <v>8</v>
      </c>
      <c r="F39" t="s">
        <v>103</v>
      </c>
      <c r="G39" t="s">
        <v>104</v>
      </c>
      <c r="H39" t="s">
        <v>105</v>
      </c>
      <c r="I39" t="s">
        <v>99</v>
      </c>
    </row>
    <row r="40" spans="1:10" x14ac:dyDescent="0.3">
      <c r="A40" s="3" t="s">
        <v>138</v>
      </c>
      <c r="B40" s="4"/>
      <c r="C40" s="4"/>
      <c r="D40" s="4"/>
      <c r="E40" s="4"/>
      <c r="F40" s="4"/>
      <c r="G40" s="4"/>
      <c r="H40" s="4"/>
      <c r="I40" s="4"/>
    </row>
    <row r="41" spans="1:10" x14ac:dyDescent="0.3">
      <c r="A41" t="s">
        <v>139</v>
      </c>
      <c r="B41" t="s">
        <v>50</v>
      </c>
      <c r="C41" t="s">
        <v>7</v>
      </c>
      <c r="D41" t="s">
        <v>102</v>
      </c>
      <c r="E41" t="s">
        <v>8</v>
      </c>
      <c r="F41" t="s">
        <v>103</v>
      </c>
      <c r="G41" t="s">
        <v>104</v>
      </c>
      <c r="H41" t="s">
        <v>105</v>
      </c>
      <c r="I41" t="s">
        <v>99</v>
      </c>
    </row>
    <row r="42" spans="1:10" x14ac:dyDescent="0.3">
      <c r="A42" t="s">
        <v>140</v>
      </c>
      <c r="B42" t="s">
        <v>52</v>
      </c>
      <c r="C42" t="s">
        <v>7</v>
      </c>
      <c r="D42" t="s">
        <v>102</v>
      </c>
      <c r="E42" t="s">
        <v>8</v>
      </c>
      <c r="F42" t="s">
        <v>103</v>
      </c>
      <c r="G42" t="s">
        <v>104</v>
      </c>
      <c r="H42" t="s">
        <v>105</v>
      </c>
      <c r="I42" t="s">
        <v>99</v>
      </c>
    </row>
    <row r="43" spans="1:10" x14ac:dyDescent="0.3">
      <c r="A43" t="s">
        <v>141</v>
      </c>
      <c r="B43" t="s">
        <v>54</v>
      </c>
      <c r="C43" t="s">
        <v>7</v>
      </c>
      <c r="D43" t="s">
        <v>102</v>
      </c>
      <c r="E43" t="s">
        <v>8</v>
      </c>
      <c r="F43" t="s">
        <v>103</v>
      </c>
      <c r="G43" t="s">
        <v>104</v>
      </c>
      <c r="H43" t="s">
        <v>105</v>
      </c>
      <c r="I43" t="s">
        <v>99</v>
      </c>
    </row>
    <row r="44" spans="1:10" x14ac:dyDescent="0.3">
      <c r="A44" t="s">
        <v>142</v>
      </c>
      <c r="B44" t="s">
        <v>60</v>
      </c>
      <c r="C44" t="s">
        <v>7</v>
      </c>
      <c r="D44" t="s">
        <v>102</v>
      </c>
      <c r="E44" t="s">
        <v>8</v>
      </c>
      <c r="F44" t="s">
        <v>103</v>
      </c>
      <c r="G44" t="s">
        <v>104</v>
      </c>
      <c r="H44" t="s">
        <v>105</v>
      </c>
      <c r="I44" t="s">
        <v>99</v>
      </c>
    </row>
    <row r="45" spans="1:10" x14ac:dyDescent="0.3">
      <c r="A45" t="s">
        <v>143</v>
      </c>
      <c r="B45" t="s">
        <v>62</v>
      </c>
      <c r="C45" t="s">
        <v>7</v>
      </c>
      <c r="D45" t="s">
        <v>102</v>
      </c>
      <c r="E45" t="s">
        <v>8</v>
      </c>
      <c r="F45" t="s">
        <v>103</v>
      </c>
      <c r="G45" t="s">
        <v>104</v>
      </c>
      <c r="H45" t="s">
        <v>105</v>
      </c>
      <c r="I45" t="s">
        <v>99</v>
      </c>
    </row>
    <row r="46" spans="1:10" x14ac:dyDescent="0.3">
      <c r="A46" t="s">
        <v>144</v>
      </c>
      <c r="B46" t="s">
        <v>64</v>
      </c>
      <c r="C46" t="s">
        <v>7</v>
      </c>
      <c r="D46" t="s">
        <v>102</v>
      </c>
      <c r="E46" t="s">
        <v>8</v>
      </c>
      <c r="F46" t="s">
        <v>103</v>
      </c>
      <c r="G46" t="s">
        <v>104</v>
      </c>
      <c r="H46" t="s">
        <v>105</v>
      </c>
      <c r="I46" t="s">
        <v>99</v>
      </c>
    </row>
    <row r="47" spans="1:10" x14ac:dyDescent="0.3">
      <c r="A47" t="s">
        <v>23</v>
      </c>
      <c r="B47" t="s">
        <v>24</v>
      </c>
      <c r="C47" t="s">
        <v>7</v>
      </c>
      <c r="D47" t="s">
        <v>102</v>
      </c>
      <c r="E47" t="s">
        <v>8</v>
      </c>
      <c r="F47" t="s">
        <v>103</v>
      </c>
      <c r="G47" t="s">
        <v>104</v>
      </c>
      <c r="H47" t="s">
        <v>105</v>
      </c>
      <c r="I47" t="s">
        <v>99</v>
      </c>
    </row>
    <row r="48" spans="1:10" x14ac:dyDescent="0.3">
      <c r="A48" t="s">
        <v>25</v>
      </c>
      <c r="B48" t="s">
        <v>26</v>
      </c>
      <c r="C48" t="s">
        <v>7</v>
      </c>
      <c r="D48" t="s">
        <v>102</v>
      </c>
      <c r="E48" t="s">
        <v>8</v>
      </c>
      <c r="F48" t="s">
        <v>103</v>
      </c>
      <c r="G48" t="s">
        <v>104</v>
      </c>
      <c r="H48" t="s">
        <v>105</v>
      </c>
      <c r="I48" t="s">
        <v>99</v>
      </c>
    </row>
    <row r="49" spans="1:9" x14ac:dyDescent="0.3">
      <c r="A49" t="s">
        <v>27</v>
      </c>
      <c r="B49" t="s">
        <v>28</v>
      </c>
      <c r="C49" t="s">
        <v>7</v>
      </c>
      <c r="D49" t="s">
        <v>102</v>
      </c>
      <c r="E49" t="s">
        <v>8</v>
      </c>
      <c r="F49" t="s">
        <v>103</v>
      </c>
      <c r="G49" t="s">
        <v>104</v>
      </c>
      <c r="H49" t="s">
        <v>105</v>
      </c>
      <c r="I49" t="s">
        <v>99</v>
      </c>
    </row>
    <row r="50" spans="1:9" x14ac:dyDescent="0.3">
      <c r="A50" t="s">
        <v>145</v>
      </c>
      <c r="B50" t="s">
        <v>70</v>
      </c>
      <c r="C50" t="s">
        <v>7</v>
      </c>
      <c r="D50" t="s">
        <v>102</v>
      </c>
      <c r="E50" t="s">
        <v>8</v>
      </c>
      <c r="F50" t="s">
        <v>103</v>
      </c>
      <c r="G50" t="s">
        <v>104</v>
      </c>
      <c r="H50" t="s">
        <v>105</v>
      </c>
      <c r="I50" t="s">
        <v>99</v>
      </c>
    </row>
    <row r="51" spans="1:9" x14ac:dyDescent="0.3">
      <c r="A51" t="s">
        <v>146</v>
      </c>
      <c r="B51" t="s">
        <v>76</v>
      </c>
      <c r="C51" t="s">
        <v>7</v>
      </c>
      <c r="D51" t="s">
        <v>102</v>
      </c>
      <c r="E51" t="s">
        <v>8</v>
      </c>
      <c r="F51" t="s">
        <v>103</v>
      </c>
      <c r="G51" t="s">
        <v>104</v>
      </c>
      <c r="H51" t="s">
        <v>105</v>
      </c>
      <c r="I51" t="s">
        <v>99</v>
      </c>
    </row>
    <row r="52" spans="1:9" x14ac:dyDescent="0.3">
      <c r="A52" t="s">
        <v>147</v>
      </c>
      <c r="B52" t="s">
        <v>74</v>
      </c>
      <c r="C52" t="s">
        <v>7</v>
      </c>
      <c r="D52" t="s">
        <v>102</v>
      </c>
      <c r="E52" t="s">
        <v>8</v>
      </c>
      <c r="F52" t="s">
        <v>103</v>
      </c>
      <c r="G52" t="s">
        <v>104</v>
      </c>
      <c r="H52" t="s">
        <v>105</v>
      </c>
      <c r="I52" t="s">
        <v>99</v>
      </c>
    </row>
    <row r="53" spans="1:9" x14ac:dyDescent="0.3">
      <c r="A53" t="s">
        <v>148</v>
      </c>
      <c r="B53" t="s">
        <v>78</v>
      </c>
      <c r="C53" t="s">
        <v>7</v>
      </c>
      <c r="D53" t="s">
        <v>102</v>
      </c>
      <c r="E53" t="s">
        <v>8</v>
      </c>
      <c r="F53" t="s">
        <v>103</v>
      </c>
      <c r="G53" t="s">
        <v>104</v>
      </c>
      <c r="H53" t="s">
        <v>105</v>
      </c>
      <c r="I53" t="s">
        <v>99</v>
      </c>
    </row>
    <row r="54" spans="1:9" x14ac:dyDescent="0.3">
      <c r="A54" t="s">
        <v>149</v>
      </c>
      <c r="B54" t="s">
        <v>72</v>
      </c>
      <c r="C54" t="s">
        <v>7</v>
      </c>
      <c r="D54" t="s">
        <v>102</v>
      </c>
      <c r="E54" t="s">
        <v>8</v>
      </c>
      <c r="F54" t="s">
        <v>103</v>
      </c>
      <c r="G54" t="s">
        <v>104</v>
      </c>
      <c r="H54" t="s">
        <v>105</v>
      </c>
      <c r="I54" t="s">
        <v>99</v>
      </c>
    </row>
    <row r="55" spans="1:9" x14ac:dyDescent="0.3">
      <c r="A55" t="s">
        <v>150</v>
      </c>
      <c r="B55" t="s">
        <v>56</v>
      </c>
      <c r="C55" t="s">
        <v>7</v>
      </c>
      <c r="D55" t="s">
        <v>102</v>
      </c>
      <c r="E55" t="s">
        <v>8</v>
      </c>
      <c r="F55" t="s">
        <v>103</v>
      </c>
      <c r="G55" t="s">
        <v>104</v>
      </c>
      <c r="H55" t="s">
        <v>105</v>
      </c>
      <c r="I55" t="s">
        <v>99</v>
      </c>
    </row>
    <row r="56" spans="1:9" x14ac:dyDescent="0.3">
      <c r="B56" s="2" t="s">
        <v>151</v>
      </c>
    </row>
    <row r="57" spans="1:9" x14ac:dyDescent="0.3">
      <c r="B57" s="2" t="s">
        <v>152</v>
      </c>
    </row>
  </sheetData>
  <mergeCells count="3">
    <mergeCell ref="A30:I30"/>
    <mergeCell ref="A8:I8"/>
    <mergeCell ref="A4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0FDBA-48C7-48EF-9F3C-AC3EF87CD1F6}">
  <dimension ref="A2:F24"/>
  <sheetViews>
    <sheetView tabSelected="1" workbookViewId="0">
      <selection activeCell="M13" sqref="M13"/>
    </sheetView>
  </sheetViews>
  <sheetFormatPr defaultRowHeight="14.4" x14ac:dyDescent="0.3"/>
  <cols>
    <col min="2" max="2" width="53.5546875" bestFit="1" customWidth="1"/>
  </cols>
  <sheetData>
    <row r="2" spans="1:6" x14ac:dyDescent="0.3">
      <c r="A2" s="1" t="s">
        <v>189</v>
      </c>
      <c r="B2" t="s">
        <v>190</v>
      </c>
    </row>
    <row r="3" spans="1:6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</row>
    <row r="4" spans="1:6" x14ac:dyDescent="0.3">
      <c r="A4" t="s">
        <v>182</v>
      </c>
      <c r="B4" t="s">
        <v>183</v>
      </c>
      <c r="C4" t="s">
        <v>7</v>
      </c>
      <c r="E4" t="s">
        <v>8</v>
      </c>
      <c r="F4" t="e">
        <f>MATCH(A4&amp;"t",'variable definitions'!A:A,0)</f>
        <v>#N/A</v>
      </c>
    </row>
    <row r="5" spans="1:6" x14ac:dyDescent="0.3">
      <c r="A5" t="s">
        <v>134</v>
      </c>
      <c r="B5" t="s">
        <v>36</v>
      </c>
      <c r="C5" t="s">
        <v>7</v>
      </c>
      <c r="E5" t="s">
        <v>8</v>
      </c>
      <c r="F5">
        <f>MATCH(A5&amp;"t",'variable definitions'!A:A,0)</f>
        <v>18</v>
      </c>
    </row>
    <row r="6" spans="1:6" x14ac:dyDescent="0.3">
      <c r="A6" t="s">
        <v>135</v>
      </c>
      <c r="B6" t="s">
        <v>40</v>
      </c>
      <c r="C6" t="s">
        <v>7</v>
      </c>
      <c r="E6" t="s">
        <v>8</v>
      </c>
      <c r="F6">
        <f>MATCH(A6&amp;"t",'variable definitions'!A:A,0)</f>
        <v>20</v>
      </c>
    </row>
    <row r="7" spans="1:6" x14ac:dyDescent="0.3">
      <c r="A7" t="s">
        <v>136</v>
      </c>
      <c r="B7" t="s">
        <v>44</v>
      </c>
      <c r="C7" t="s">
        <v>7</v>
      </c>
      <c r="E7" t="s">
        <v>8</v>
      </c>
      <c r="F7">
        <f>MATCH(A7&amp;"t",'variable definitions'!A:A,0)</f>
        <v>22</v>
      </c>
    </row>
    <row r="8" spans="1:6" x14ac:dyDescent="0.3">
      <c r="A8" t="s">
        <v>139</v>
      </c>
      <c r="B8" t="s">
        <v>50</v>
      </c>
      <c r="C8" t="s">
        <v>7</v>
      </c>
      <c r="E8" t="s">
        <v>8</v>
      </c>
      <c r="F8">
        <f>MATCH(A8&amp;"t",'variable definitions'!A:A,0)</f>
        <v>25</v>
      </c>
    </row>
    <row r="9" spans="1:6" x14ac:dyDescent="0.3">
      <c r="A9" t="s">
        <v>140</v>
      </c>
      <c r="B9" t="s">
        <v>52</v>
      </c>
      <c r="C9" t="s">
        <v>7</v>
      </c>
      <c r="E9" t="s">
        <v>8</v>
      </c>
      <c r="F9">
        <f>MATCH(A9&amp;"t",'variable definitions'!A:A,0)</f>
        <v>26</v>
      </c>
    </row>
    <row r="10" spans="1:6" x14ac:dyDescent="0.3">
      <c r="A10" t="s">
        <v>141</v>
      </c>
      <c r="B10" t="s">
        <v>54</v>
      </c>
      <c r="C10" t="s">
        <v>7</v>
      </c>
      <c r="E10" t="s">
        <v>8</v>
      </c>
      <c r="F10">
        <f>MATCH(A10&amp;"t",'variable definitions'!A:A,0)</f>
        <v>27</v>
      </c>
    </row>
    <row r="11" spans="1:6" x14ac:dyDescent="0.3">
      <c r="A11" t="s">
        <v>150</v>
      </c>
      <c r="B11" t="s">
        <v>56</v>
      </c>
      <c r="C11" t="s">
        <v>7</v>
      </c>
      <c r="E11" t="s">
        <v>8</v>
      </c>
      <c r="F11">
        <f>MATCH(A11&amp;"t",'variable definitions'!A:A,0)</f>
        <v>28</v>
      </c>
    </row>
    <row r="12" spans="1:6" x14ac:dyDescent="0.3">
      <c r="A12" t="s">
        <v>142</v>
      </c>
      <c r="B12" t="s">
        <v>60</v>
      </c>
      <c r="C12" t="s">
        <v>7</v>
      </c>
      <c r="E12" t="s">
        <v>8</v>
      </c>
      <c r="F12">
        <f>MATCH(A12&amp;"t",'variable definitions'!A:A,0)</f>
        <v>30</v>
      </c>
    </row>
    <row r="13" spans="1:6" x14ac:dyDescent="0.3">
      <c r="A13" t="s">
        <v>143</v>
      </c>
      <c r="B13" t="s">
        <v>62</v>
      </c>
      <c r="C13" t="s">
        <v>7</v>
      </c>
      <c r="E13" t="s">
        <v>8</v>
      </c>
      <c r="F13">
        <f>MATCH(A13&amp;"t",'variable definitions'!A:A,0)</f>
        <v>31</v>
      </c>
    </row>
    <row r="14" spans="1:6" x14ac:dyDescent="0.3">
      <c r="A14" t="s">
        <v>144</v>
      </c>
      <c r="B14" t="s">
        <v>64</v>
      </c>
      <c r="C14" t="s">
        <v>7</v>
      </c>
      <c r="E14" t="s">
        <v>8</v>
      </c>
      <c r="F14">
        <f>MATCH(A14&amp;"t",'variable definitions'!A:A,0)</f>
        <v>32</v>
      </c>
    </row>
    <row r="15" spans="1:6" x14ac:dyDescent="0.3">
      <c r="A15" t="s">
        <v>145</v>
      </c>
      <c r="B15" t="s">
        <v>70</v>
      </c>
      <c r="C15" t="s">
        <v>7</v>
      </c>
      <c r="E15" t="s">
        <v>8</v>
      </c>
      <c r="F15">
        <f>MATCH(A15&amp;"t",'variable definitions'!A:A,0)</f>
        <v>35</v>
      </c>
    </row>
    <row r="16" spans="1:6" x14ac:dyDescent="0.3">
      <c r="A16" t="s">
        <v>149</v>
      </c>
      <c r="B16" t="s">
        <v>72</v>
      </c>
      <c r="C16" t="s">
        <v>7</v>
      </c>
      <c r="E16" t="s">
        <v>8</v>
      </c>
      <c r="F16">
        <f>MATCH(A16&amp;"t",'variable definitions'!A:A,0)</f>
        <v>36</v>
      </c>
    </row>
    <row r="17" spans="1:6" x14ac:dyDescent="0.3">
      <c r="A17" t="s">
        <v>147</v>
      </c>
      <c r="B17" t="s">
        <v>74</v>
      </c>
      <c r="C17" t="s">
        <v>7</v>
      </c>
      <c r="E17" t="s">
        <v>8</v>
      </c>
      <c r="F17">
        <f>MATCH(A17&amp;"t",'variable definitions'!A:A,0)</f>
        <v>37</v>
      </c>
    </row>
    <row r="18" spans="1:6" x14ac:dyDescent="0.3">
      <c r="A18" t="s">
        <v>146</v>
      </c>
      <c r="B18" t="s">
        <v>76</v>
      </c>
      <c r="C18" t="s">
        <v>7</v>
      </c>
      <c r="E18" t="s">
        <v>8</v>
      </c>
      <c r="F18">
        <f>MATCH(A18&amp;"t",'variable definitions'!A:A,0)</f>
        <v>38</v>
      </c>
    </row>
    <row r="19" spans="1:6" x14ac:dyDescent="0.3">
      <c r="A19" t="s">
        <v>148</v>
      </c>
      <c r="B19" t="s">
        <v>78</v>
      </c>
      <c r="C19" t="s">
        <v>7</v>
      </c>
      <c r="E19" t="s">
        <v>8</v>
      </c>
      <c r="F19">
        <f>MATCH(A19&amp;"t",'variable definitions'!A:A,0)</f>
        <v>39</v>
      </c>
    </row>
    <row r="20" spans="1:6" x14ac:dyDescent="0.3">
      <c r="A20" t="s">
        <v>184</v>
      </c>
      <c r="B20" t="s">
        <v>185</v>
      </c>
      <c r="C20" t="s">
        <v>7</v>
      </c>
      <c r="E20" t="s">
        <v>8</v>
      </c>
      <c r="F20" t="e">
        <f>MATCH(A20&amp;"t",'variable definitions'!A:A,0)</f>
        <v>#N/A</v>
      </c>
    </row>
    <row r="21" spans="1:6" x14ac:dyDescent="0.3">
      <c r="A21" t="s">
        <v>186</v>
      </c>
      <c r="B21" t="s">
        <v>181</v>
      </c>
      <c r="C21" t="s">
        <v>7</v>
      </c>
      <c r="E21" t="s">
        <v>8</v>
      </c>
      <c r="F21">
        <f>MATCH(A21&amp;"t",'variable definitions'!A:A,0)</f>
        <v>53</v>
      </c>
    </row>
    <row r="22" spans="1:6" x14ac:dyDescent="0.3">
      <c r="A22" t="s">
        <v>187</v>
      </c>
      <c r="B22" t="s">
        <v>188</v>
      </c>
      <c r="C22" t="s">
        <v>7</v>
      </c>
      <c r="E22" t="s">
        <v>8</v>
      </c>
      <c r="F22" t="e">
        <f>MATCH(A22&amp;"t",'variable definitions'!A:A,0)</f>
        <v>#N/A</v>
      </c>
    </row>
    <row r="24" spans="1:6" x14ac:dyDescent="0.3">
      <c r="A24" s="1" t="s">
        <v>191</v>
      </c>
      <c r="B24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variable definitions</vt:lpstr>
      <vt:lpstr>variable labels</vt:lpstr>
      <vt:lpstr>Sheet1</vt:lpstr>
      <vt:lpstr>Motoring expenditure RPI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DavidHawkey</dc:creator>
  <cp:lastModifiedBy>David Hawkey</cp:lastModifiedBy>
  <dcterms:created xsi:type="dcterms:W3CDTF">2025-04-13T10:17:10Z</dcterms:created>
  <dcterms:modified xsi:type="dcterms:W3CDTF">2025-04-22T08:03:23Z</dcterms:modified>
</cp:coreProperties>
</file>