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avidHawkey\R projects\Energy and climate\lcfs_transport\"/>
    </mc:Choice>
  </mc:AlternateContent>
  <xr:revisionPtr revIDLastSave="0" documentId="13_ncr:1_{F7065B2A-B65E-4EBC-8029-32D534E9C8ED}" xr6:coauthVersionLast="47" xr6:coauthVersionMax="47" xr10:uidLastSave="{00000000-0000-0000-0000-000000000000}"/>
  <bookViews>
    <workbookView xWindow="-108" yWindow="12852" windowWidth="23256" windowHeight="12456" tabRatio="785" firstSheet="4" activeTab="6" xr2:uid="{00000000-000D-0000-FFFF-FFFF00000000}"/>
  </bookViews>
  <sheets>
    <sheet name="variable definitions Stephen" sheetId="1" r:id="rId1"/>
    <sheet name="variable labels Stephen" sheetId="3" r:id="rId2"/>
    <sheet name="variable definitions Maya" sheetId="7" r:id="rId3"/>
    <sheet name="variable labels Maya" sheetId="8" r:id="rId4"/>
    <sheet name="variable definitions Stephen2" sheetId="9" r:id="rId5"/>
    <sheet name="variable labels Stephen2" sheetId="10" r:id="rId6"/>
    <sheet name="COICP transport" sheetId="11" r:id="rId7"/>
    <sheet name="Sheet1" sheetId="2" r:id="rId8"/>
    <sheet name="Motoring expenditure RPI" sheetId="4" r:id="rId9"/>
    <sheet name="fares expenditure total" sheetId="5" r:id="rId10"/>
    <sheet name="codes starting 73" sheetId="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1" l="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2" i="11"/>
  <c r="K1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J48" i="11"/>
  <c r="J49" i="11"/>
  <c r="J50" i="11"/>
  <c r="J51" i="11"/>
  <c r="J52" i="11"/>
  <c r="J53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2" i="11"/>
  <c r="A20" i="10"/>
  <c r="B20" i="10" a="1"/>
  <c r="B20" i="10" s="1"/>
  <c r="D20" i="10" s="1"/>
  <c r="A21" i="10"/>
  <c r="B21" i="10" s="1" a="1"/>
  <c r="B21" i="10" s="1"/>
  <c r="D21" i="10" s="1"/>
  <c r="A9" i="10"/>
  <c r="A10" i="10" s="1"/>
  <c r="B9" i="10" a="1"/>
  <c r="B9" i="10" s="1"/>
  <c r="D9" i="10" s="1"/>
  <c r="B3" i="10" a="1"/>
  <c r="B3" i="10" s="1"/>
  <c r="B4" i="10" a="1"/>
  <c r="B4" i="10" s="1"/>
  <c r="B5" i="10" a="1"/>
  <c r="B5" i="10" s="1"/>
  <c r="B6" i="10" a="1"/>
  <c r="B6" i="10" s="1"/>
  <c r="B7" i="10" a="1"/>
  <c r="B7" i="10" s="1"/>
  <c r="B8" i="10" a="1"/>
  <c r="B8" i="10" s="1"/>
  <c r="B2" i="10" a="1"/>
  <c r="B2" i="10" s="1"/>
  <c r="D2" i="10" s="1"/>
  <c r="A4" i="10"/>
  <c r="A5" i="10" s="1"/>
  <c r="A3" i="10"/>
  <c r="D3" i="3"/>
  <c r="D4" i="3"/>
  <c r="D5" i="3"/>
  <c r="D6" i="3"/>
  <c r="D7" i="3"/>
  <c r="D8" i="3"/>
  <c r="D9" i="3"/>
  <c r="D10" i="3"/>
  <c r="D11" i="3"/>
  <c r="D12" i="3"/>
  <c r="D13" i="3"/>
  <c r="D14" i="3"/>
  <c r="D15" i="3"/>
  <c r="D2" i="3"/>
  <c r="A13" i="3"/>
  <c r="B13" i="3" s="1" a="1"/>
  <c r="B13" i="3" s="1"/>
  <c r="A14" i="3"/>
  <c r="B14" i="3" s="1" a="1"/>
  <c r="B14" i="3" s="1"/>
  <c r="A15" i="3"/>
  <c r="B15" i="3" s="1" a="1"/>
  <c r="B15" i="3" s="1"/>
  <c r="B3" i="8" a="1"/>
  <c r="B3" i="8" s="1"/>
  <c r="B4" i="8" a="1"/>
  <c r="B4" i="8" s="1"/>
  <c r="B5" i="8" a="1"/>
  <c r="B5" i="8" s="1"/>
  <c r="B6" i="8" a="1"/>
  <c r="B6" i="8" s="1"/>
  <c r="B7" i="8" a="1"/>
  <c r="B7" i="8" s="1"/>
  <c r="B8" i="8" a="1"/>
  <c r="B8" i="8" s="1"/>
  <c r="B9" i="8" a="1"/>
  <c r="B9" i="8" s="1"/>
  <c r="B10" i="8" a="1"/>
  <c r="B10" i="8" s="1"/>
  <c r="B2" i="8" a="1"/>
  <c r="B2" i="8" s="1"/>
  <c r="A3" i="8"/>
  <c r="A4" i="8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2" i="6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4" i="5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4" i="4"/>
  <c r="G4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26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A12" i="3"/>
  <c r="B12" i="3" a="1"/>
  <c r="B12" i="3" s="1"/>
  <c r="M53" i="1"/>
  <c r="M9" i="1"/>
  <c r="M7" i="1"/>
  <c r="M52" i="1"/>
  <c r="M51" i="1"/>
  <c r="M3" i="1"/>
  <c r="M4" i="1"/>
  <c r="M5" i="1"/>
  <c r="M6" i="1"/>
  <c r="M8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2" i="1"/>
  <c r="A4" i="3"/>
  <c r="B4" i="3" a="1"/>
  <c r="B4" i="3" s="1"/>
  <c r="A5" i="3"/>
  <c r="A6" i="3" s="1"/>
  <c r="B5" i="3" a="1"/>
  <c r="B5" i="3" s="1"/>
  <c r="B3" i="3" a="1"/>
  <c r="B3" i="3" s="1"/>
  <c r="A3" i="3"/>
  <c r="B2" i="3" a="1"/>
  <c r="B2" i="3" s="1"/>
  <c r="A22" i="10" l="1"/>
  <c r="B10" i="10" a="1"/>
  <c r="B10" i="10" s="1"/>
  <c r="D10" i="10" s="1"/>
  <c r="A11" i="10"/>
  <c r="D3" i="10"/>
  <c r="D5" i="10"/>
  <c r="A6" i="10"/>
  <c r="D4" i="10"/>
  <c r="A5" i="8"/>
  <c r="B6" i="3" a="1"/>
  <c r="B6" i="3" s="1"/>
  <c r="A7" i="3"/>
  <c r="A23" i="10" l="1"/>
  <c r="B22" i="10" a="1"/>
  <c r="B22" i="10" s="1"/>
  <c r="D22" i="10" s="1"/>
  <c r="B11" i="10" a="1"/>
  <c r="B11" i="10" s="1"/>
  <c r="D11" i="10" s="1"/>
  <c r="A12" i="10"/>
  <c r="A7" i="10"/>
  <c r="D6" i="10"/>
  <c r="A6" i="8"/>
  <c r="B7" i="3" a="1"/>
  <c r="B7" i="3" s="1"/>
  <c r="A8" i="3"/>
  <c r="B23" i="10" l="1" a="1"/>
  <c r="B23" i="10" s="1"/>
  <c r="D23" i="10" s="1"/>
  <c r="A13" i="10"/>
  <c r="B12" i="10" a="1"/>
  <c r="B12" i="10" s="1"/>
  <c r="D12" i="10" s="1"/>
  <c r="D7" i="10"/>
  <c r="A8" i="10"/>
  <c r="A7" i="8"/>
  <c r="B8" i="3" a="1"/>
  <c r="B8" i="3" s="1"/>
  <c r="A9" i="3"/>
  <c r="A14" i="10" l="1"/>
  <c r="B13" i="10" a="1"/>
  <c r="B13" i="10" s="1"/>
  <c r="D13" i="10" s="1"/>
  <c r="D8" i="10"/>
  <c r="A8" i="8"/>
  <c r="B9" i="3" a="1"/>
  <c r="B9" i="3" s="1"/>
  <c r="A10" i="3"/>
  <c r="B14" i="10" l="1" a="1"/>
  <c r="B14" i="10" s="1"/>
  <c r="D14" i="10" s="1"/>
  <c r="A15" i="10"/>
  <c r="A9" i="8"/>
  <c r="B10" i="3" a="1"/>
  <c r="B10" i="3" s="1"/>
  <c r="A11" i="3"/>
  <c r="B15" i="10" l="1" a="1"/>
  <c r="B15" i="10" s="1"/>
  <c r="D15" i="10" s="1"/>
  <c r="A16" i="10"/>
  <c r="A10" i="8"/>
  <c r="B11" i="3" a="1"/>
  <c r="B11" i="3" s="1"/>
  <c r="B16" i="10" l="1" a="1"/>
  <c r="B16" i="10" s="1"/>
  <c r="D16" i="10" s="1"/>
  <c r="A17" i="10"/>
  <c r="A18" i="10" l="1"/>
  <c r="B17" i="10" a="1"/>
  <c r="B17" i="10" s="1"/>
  <c r="D17" i="10" s="1"/>
  <c r="B18" i="10" l="1" a="1"/>
  <c r="B18" i="10" s="1"/>
  <c r="D18" i="10" s="1"/>
  <c r="A19" i="10"/>
  <c r="B19" i="10" l="1" a="1"/>
  <c r="B19" i="10" s="1"/>
  <c r="D19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Hawkey</author>
  </authors>
  <commentList>
    <comment ref="B41" authorId="0" shapeId="0" xr:uid="{D29CB610-18DA-4843-9165-0F1D8FBCAD94}">
      <text>
        <r>
          <rPr>
            <b/>
            <sz val="9"/>
            <color indexed="81"/>
            <rFont val="Tahoma"/>
            <charset val="1"/>
          </rPr>
          <t>David Hawkey:</t>
        </r>
        <r>
          <rPr>
            <sz val="9"/>
            <color indexed="81"/>
            <rFont val="Tahoma"/>
            <charset val="1"/>
          </rPr>
          <t xml:space="preserve">
Confirmed with ONS this is wrongly labelled in documentation. Correct label is railway and tube fares (documentation has bus and coach fares)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<sst xmlns="http://schemas.openxmlformats.org/spreadsheetml/2006/main" count="1448" uniqueCount="305">
  <si>
    <t>variable</t>
  </si>
  <si>
    <t>description</t>
  </si>
  <si>
    <t>table</t>
  </si>
  <si>
    <t>coding_frame</t>
  </si>
  <si>
    <t>inUKDA</t>
  </si>
  <si>
    <t>b216</t>
  </si>
  <si>
    <t>Bus + tube and/or rail season</t>
  </si>
  <si>
    <t>dvhh</t>
  </si>
  <si>
    <t>Yes</t>
  </si>
  <si>
    <t>b217</t>
  </si>
  <si>
    <t>Season ticket - bus / coach - total net amount</t>
  </si>
  <si>
    <t>b218</t>
  </si>
  <si>
    <t>Season ticket - rail / tube - total net amount</t>
  </si>
  <si>
    <t>b219</t>
  </si>
  <si>
    <t>Water travel season ticket</t>
  </si>
  <si>
    <t>b244</t>
  </si>
  <si>
    <t>Vehicle - cost of new car | van outright</t>
  </si>
  <si>
    <t>b245</t>
  </si>
  <si>
    <t>Vehicle - cost of 2nd hand car | van outright</t>
  </si>
  <si>
    <t>b247</t>
  </si>
  <si>
    <t>Vehicle - cost of motorcycles outright</t>
  </si>
  <si>
    <t>b248</t>
  </si>
  <si>
    <t>Car leasing - expenditure on</t>
  </si>
  <si>
    <t>b249</t>
  </si>
  <si>
    <t>Car or van - servicing: amount paid</t>
  </si>
  <si>
    <t>b250</t>
  </si>
  <si>
    <t>Car or van - other works, repairs: amount paid</t>
  </si>
  <si>
    <t>b252</t>
  </si>
  <si>
    <t>Motorcycle - services, repairs: amount paid</t>
  </si>
  <si>
    <t>b487</t>
  </si>
  <si>
    <t>Domestic flight expenditure</t>
  </si>
  <si>
    <t>b488</t>
  </si>
  <si>
    <t>International flight expenditure</t>
  </si>
  <si>
    <t>c71111c</t>
  </si>
  <si>
    <t>Outright purchase of new car/van</t>
  </si>
  <si>
    <t>c71112t</t>
  </si>
  <si>
    <t>Loan / HP purchase of new car/van</t>
  </si>
  <si>
    <t>c71121c</t>
  </si>
  <si>
    <t>Outright purchase of second-hand car/van</t>
  </si>
  <si>
    <t>c71122t</t>
  </si>
  <si>
    <t>Loan / HP purchase of second-hand car/van</t>
  </si>
  <si>
    <t>c71211c</t>
  </si>
  <si>
    <t>Outright purchase of new or second-hand motorcycle</t>
  </si>
  <si>
    <t>c71212t</t>
  </si>
  <si>
    <t>Loan / HP purchase of new or second-hand motorcycle</t>
  </si>
  <si>
    <t>c71311t</t>
  </si>
  <si>
    <t>Purchase of bicycle</t>
  </si>
  <si>
    <t>c71411t</t>
  </si>
  <si>
    <t>Animal drawn vehicles</t>
  </si>
  <si>
    <t>c72111t</t>
  </si>
  <si>
    <t>Car van accessories and fittings</t>
  </si>
  <si>
    <t>c72112t</t>
  </si>
  <si>
    <t>Car / van spare parts</t>
  </si>
  <si>
    <t>c72113t</t>
  </si>
  <si>
    <t>Motorcycle accessories and spare parts</t>
  </si>
  <si>
    <t>c72114t</t>
  </si>
  <si>
    <t>Anti-freeze, battery water, cleaning materials</t>
  </si>
  <si>
    <t>c72115t</t>
  </si>
  <si>
    <t>Bicycle accessories, repairs and other costs</t>
  </si>
  <si>
    <t>c72211t</t>
  </si>
  <si>
    <t>Petrol</t>
  </si>
  <si>
    <t>c72212t</t>
  </si>
  <si>
    <t>Diesel oil</t>
  </si>
  <si>
    <t>c72213t</t>
  </si>
  <si>
    <t>Other motor oils</t>
  </si>
  <si>
    <t>c72311c</t>
  </si>
  <si>
    <t>Car or van repairs and servicing</t>
  </si>
  <si>
    <t>c72312c</t>
  </si>
  <si>
    <t>Motor cycle repairs, service</t>
  </si>
  <si>
    <t>c72313t</t>
  </si>
  <si>
    <t>Motoring organisation subscription (eg AA and RAC)</t>
  </si>
  <si>
    <t>c72314t</t>
  </si>
  <si>
    <t>Car washing and breakdown services</t>
  </si>
  <si>
    <t>c72411t</t>
  </si>
  <si>
    <t>Parking fees, tolls, and permits (excluding motoring fines)</t>
  </si>
  <si>
    <t>c72412t</t>
  </si>
  <si>
    <t>Garage rent, MOT etc</t>
  </si>
  <si>
    <t>c72413t</t>
  </si>
  <si>
    <t>Driving lessons</t>
  </si>
  <si>
    <t>c72414t</t>
  </si>
  <si>
    <t>Hire of self-drive cars, vans, bicycles</t>
  </si>
  <si>
    <t>c73112t</t>
  </si>
  <si>
    <t>Bus and coach fares other than season tickets</t>
  </si>
  <si>
    <t>c73212t</t>
  </si>
  <si>
    <t>c73213t</t>
  </si>
  <si>
    <t>Taxis and hired cars with drivers</t>
  </si>
  <si>
    <t>c73214t</t>
  </si>
  <si>
    <t>Other personal travel</t>
  </si>
  <si>
    <t>c73411t</t>
  </si>
  <si>
    <t>Water travel</t>
  </si>
  <si>
    <t>c73512t</t>
  </si>
  <si>
    <t>Combined fares other than season tickets</t>
  </si>
  <si>
    <t>c73513t</t>
  </si>
  <si>
    <t>School travel</t>
  </si>
  <si>
    <t>c73611t</t>
  </si>
  <si>
    <t>Delivery charges and other transport services</t>
  </si>
  <si>
    <t>pub_priv</t>
  </si>
  <si>
    <t>active</t>
  </si>
  <si>
    <t>taxi</t>
  </si>
  <si>
    <t>surface</t>
  </si>
  <si>
    <t>Notes</t>
  </si>
  <si>
    <t>c73611</t>
  </si>
  <si>
    <t/>
  </si>
  <si>
    <t>private</t>
  </si>
  <si>
    <t>motor</t>
  </si>
  <si>
    <t>not_taxi</t>
  </si>
  <si>
    <t>Not sure about this one - possibly ignore as we focus largely on personal travel?</t>
  </si>
  <si>
    <t>Air travel</t>
  </si>
  <si>
    <t>c73311</t>
  </si>
  <si>
    <t>Air fares (within UK)</t>
  </si>
  <si>
    <t>public</t>
  </si>
  <si>
    <t>air</t>
  </si>
  <si>
    <t>c73312</t>
  </si>
  <si>
    <t>Air fares (international)</t>
  </si>
  <si>
    <t>Public transport, cycling and other costs</t>
  </si>
  <si>
    <t>Public transport</t>
  </si>
  <si>
    <t>c73411</t>
  </si>
  <si>
    <t>c73512</t>
  </si>
  <si>
    <t>c73112</t>
  </si>
  <si>
    <t>Railway and tube fares other than season tickets</t>
  </si>
  <si>
    <t>c73212</t>
  </si>
  <si>
    <t>Cycling</t>
  </si>
  <si>
    <t>c71311</t>
  </si>
  <si>
    <t>c72115</t>
  </si>
  <si>
    <t>Other</t>
  </si>
  <si>
    <t>c73513</t>
  </si>
  <si>
    <t>c73214</t>
  </si>
  <si>
    <t>other</t>
  </si>
  <si>
    <t>c71411</t>
  </si>
  <si>
    <t>c72414</t>
  </si>
  <si>
    <t>Taxis and minicabs</t>
  </si>
  <si>
    <t>c73213</t>
  </si>
  <si>
    <t>Motoring</t>
  </si>
  <si>
    <t>Purchase or leasing of vehicles</t>
  </si>
  <si>
    <t>c71112</t>
  </si>
  <si>
    <t>c71122</t>
  </si>
  <si>
    <t>c71212</t>
  </si>
  <si>
    <t>Motor vehicle road taxation payments less refunds</t>
  </si>
  <si>
    <t>Operation of private vehicles</t>
  </si>
  <si>
    <t>c72111</t>
  </si>
  <si>
    <t>c72112</t>
  </si>
  <si>
    <t>c72113</t>
  </si>
  <si>
    <t>c72211</t>
  </si>
  <si>
    <t>c72212</t>
  </si>
  <si>
    <t>c72213</t>
  </si>
  <si>
    <t>c72313</t>
  </si>
  <si>
    <t>c72412</t>
  </si>
  <si>
    <t>c72411</t>
  </si>
  <si>
    <t>c72413</t>
  </si>
  <si>
    <t>c72314</t>
  </si>
  <si>
    <t>c72114</t>
  </si>
  <si>
    <t>Motoring fines</t>
  </si>
  <si>
    <t>Vehicle insurance</t>
  </si>
  <si>
    <t>air_travel</t>
  </si>
  <si>
    <t>air_travel_d</t>
  </si>
  <si>
    <t>air_travel_i</t>
  </si>
  <si>
    <t>cycling</t>
  </si>
  <si>
    <t>taxis</t>
  </si>
  <si>
    <t>index</t>
  </si>
  <si>
    <t>label</t>
  </si>
  <si>
    <t>Domestic air travel</t>
  </si>
  <si>
    <t>International air travel</t>
  </si>
  <si>
    <t>Other (school, personal, animal, hire)</t>
  </si>
  <si>
    <t>Total cost of private vehicles</t>
  </si>
  <si>
    <t>b187</t>
  </si>
  <si>
    <t>Vehicle road tax - amount paid last year</t>
  </si>
  <si>
    <t>b179</t>
  </si>
  <si>
    <t>Vehicle road tax - amount refunded last</t>
  </si>
  <si>
    <t>THIS VARIABLE IS NOT AVAILABLE IN THE EUL VERSION - USING TWO VARIABLES ABOUT LAST YEAR</t>
  </si>
  <si>
    <t>ck3112t</t>
  </si>
  <si>
    <t>Motoring Fines</t>
  </si>
  <si>
    <t>b188</t>
  </si>
  <si>
    <t>Vehicle insurance - amount paid last yea</t>
  </si>
  <si>
    <t>b2451</t>
  </si>
  <si>
    <t>Vehicle cost of 2nd hand motor caravan outright</t>
  </si>
  <si>
    <t>b2441</t>
  </si>
  <si>
    <t>Vehicle - cost of new motor caravan outright</t>
  </si>
  <si>
    <t>c92114t</t>
  </si>
  <si>
    <t>Purchase of motor caravan (new) - loan/HP</t>
  </si>
  <si>
    <t>c31315</t>
  </si>
  <si>
    <t>Protective head gear (crash helmets)</t>
  </si>
  <si>
    <t>c91112</t>
  </si>
  <si>
    <t>Audio equipment - in car</t>
  </si>
  <si>
    <t>c92114</t>
  </si>
  <si>
    <t>c92116</t>
  </si>
  <si>
    <t>Purchase of motor caravan (second-hand) - loan/HP</t>
  </si>
  <si>
    <t>P133</t>
  </si>
  <si>
    <t>Motoring expenditure - RPI definition, expenditure by adults only:‑</t>
  </si>
  <si>
    <t xml:space="preserve">P133c </t>
  </si>
  <si>
    <t>Motoring expenditure - RPI definition, expenditure by children only:‑</t>
  </si>
  <si>
    <t>Public excl season tickets</t>
  </si>
  <si>
    <t>c31315c</t>
  </si>
  <si>
    <t>c72111c</t>
  </si>
  <si>
    <t>c72113c</t>
  </si>
  <si>
    <t>c72114c</t>
  </si>
  <si>
    <t>c72211c</t>
  </si>
  <si>
    <t>c72212c</t>
  </si>
  <si>
    <t>c72213c</t>
  </si>
  <si>
    <t>c72313c</t>
  </si>
  <si>
    <t>c72314c</t>
  </si>
  <si>
    <t>c72411c</t>
  </si>
  <si>
    <t>c72412c</t>
  </si>
  <si>
    <t>c72413c</t>
  </si>
  <si>
    <t>c91112c</t>
  </si>
  <si>
    <t>c92113c</t>
  </si>
  <si>
    <t>Purchase of motor caravan (new) - outright purchase</t>
  </si>
  <si>
    <t>c92115c</t>
  </si>
  <si>
    <t>Purchase of motor caravan (second-hand) - outright purchase</t>
  </si>
  <si>
    <t>in list above</t>
  </si>
  <si>
    <t>in existing list</t>
  </si>
  <si>
    <t>child amount in existing list</t>
  </si>
  <si>
    <t>total in existing list</t>
  </si>
  <si>
    <t>adult in existing list</t>
  </si>
  <si>
    <t>c73311t</t>
  </si>
  <si>
    <t>c73312t</t>
  </si>
  <si>
    <t>c92111t</t>
  </si>
  <si>
    <t>Purchase of boats, trailers and horses</t>
  </si>
  <si>
    <t>c92117t</t>
  </si>
  <si>
    <t>Accessories for boats, horses, caravans and motor caravans</t>
  </si>
  <si>
    <t>c92311t</t>
  </si>
  <si>
    <t>Maintenance &amp; repair of other durables for recreation &amp; culture</t>
  </si>
  <si>
    <t>c71111w</t>
  </si>
  <si>
    <t>c71211w</t>
  </si>
  <si>
    <t>c71311c</t>
  </si>
  <si>
    <t>c71311w</t>
  </si>
  <si>
    <t>c71411c</t>
  </si>
  <si>
    <t>c72111w</t>
  </si>
  <si>
    <t>Car / van accessories and fittings</t>
  </si>
  <si>
    <t>c72112c</t>
  </si>
  <si>
    <t>c72112w</t>
  </si>
  <si>
    <t>c72113w</t>
  </si>
  <si>
    <t>c72114w</t>
  </si>
  <si>
    <t>c72115c</t>
  </si>
  <si>
    <t>c72211l</t>
  </si>
  <si>
    <t>c72212l</t>
  </si>
  <si>
    <t>c72213l</t>
  </si>
  <si>
    <t>c72414c</t>
  </si>
  <si>
    <t>c73111w</t>
  </si>
  <si>
    <t>c73112c</t>
  </si>
  <si>
    <t>c73212c</t>
  </si>
  <si>
    <t>c73212w</t>
  </si>
  <si>
    <t>Bus and coach season tickets - internet</t>
  </si>
  <si>
    <t>c73213c</t>
  </si>
  <si>
    <t>c73214c</t>
  </si>
  <si>
    <t>c73311c</t>
  </si>
  <si>
    <t>c73311w</t>
  </si>
  <si>
    <t>c73312c</t>
  </si>
  <si>
    <t>c73312w</t>
  </si>
  <si>
    <t>c73411c</t>
  </si>
  <si>
    <t>c73411w</t>
  </si>
  <si>
    <t>c73412w</t>
  </si>
  <si>
    <t>Water travel season tickets</t>
  </si>
  <si>
    <t>c73511w</t>
  </si>
  <si>
    <t>Combined fare season tickets</t>
  </si>
  <si>
    <t>c73512c</t>
  </si>
  <si>
    <t>c73513c</t>
  </si>
  <si>
    <t>c73611c</t>
  </si>
  <si>
    <t>bus_and_coach</t>
  </si>
  <si>
    <t>bicylces</t>
  </si>
  <si>
    <t>school</t>
  </si>
  <si>
    <t>fuel</t>
  </si>
  <si>
    <t>servicing</t>
  </si>
  <si>
    <t>garage</t>
  </si>
  <si>
    <t>Bus and coach</t>
  </si>
  <si>
    <t>Cycline</t>
  </si>
  <si>
    <t>Taxis</t>
  </si>
  <si>
    <t>Fuel</t>
  </si>
  <si>
    <t>fees</t>
  </si>
  <si>
    <t>Fees and tolls</t>
  </si>
  <si>
    <t>Servicing and maintenance</t>
  </si>
  <si>
    <t>insurance</t>
  </si>
  <si>
    <t>Vehicle insurance (amount paid last year)</t>
  </si>
  <si>
    <t>domestic</t>
  </si>
  <si>
    <t>all</t>
  </si>
  <si>
    <t>Surface transport</t>
  </si>
  <si>
    <t>Domestic transport</t>
  </si>
  <si>
    <t>All transport</t>
  </si>
  <si>
    <t>pub_ex_season</t>
  </si>
  <si>
    <t>vcle_prchse</t>
  </si>
  <si>
    <t>vcle_run</t>
  </si>
  <si>
    <t>vcle_total</t>
  </si>
  <si>
    <t>char_check</t>
  </si>
  <si>
    <t>Private vehicle (total)</t>
  </si>
  <si>
    <t>Private vehicle (running)</t>
  </si>
  <si>
    <t>Private vehicle (purchase)</t>
  </si>
  <si>
    <t>pub_multi</t>
  </si>
  <si>
    <t>pub_bus_coach</t>
  </si>
  <si>
    <t>pub_rail_tube</t>
  </si>
  <si>
    <t>pub_water</t>
  </si>
  <si>
    <t>motor1</t>
  </si>
  <si>
    <t>motor2</t>
  </si>
  <si>
    <t>motor3</t>
  </si>
  <si>
    <t>motor4</t>
  </si>
  <si>
    <t>motor5</t>
  </si>
  <si>
    <t>motor6</t>
  </si>
  <si>
    <t>motor7</t>
  </si>
  <si>
    <t>Multi-modal public</t>
  </si>
  <si>
    <t>Bus/coach</t>
  </si>
  <si>
    <t>Rail/tube</t>
  </si>
  <si>
    <t>Water</t>
  </si>
  <si>
    <t>maintenance</t>
  </si>
  <si>
    <t>motor_other</t>
  </si>
  <si>
    <t>Fuel for vehicles</t>
  </si>
  <si>
    <t>Vehicle maintenance</t>
  </si>
  <si>
    <t>Other vehicle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</si>
</sst>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0" fillId="7" borderId="0" xfId="0" applyFill="1"/>
    <xf numFmtId="0" fontId="0" fillId="8" borderId="0" xfId="0" applyFill="1"/>
    <xf numFmtId="0" fontId="3" fillId="9" borderId="0" xfId="0" applyFont="1" applyFill="1" applyAlignment="1">
      <alignment horizontal="left"/>
    </xf>
    <xf numFmtId="0" fontId="0" fillId="9" borderId="0" xfId="0" applyFill="1"/>
    <xf numFmtId="0" fontId="3" fillId="9" borderId="0" xfId="0" applyFont="1" applyFill="1"/>
    <xf numFmtId="0" fontId="3" fillId="8" borderId="0" xfId="0" applyFont="1" applyFill="1"/>
    <xf numFmtId="0" fontId="0" fillId="10" borderId="0" xfId="0" applyFill="1"/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</cellXfs>
  <cellStyles count="3">
    <cellStyle name="Normal" xfId="0" builtinId="0"/>
    <cellStyle name="Normal 2" xfId="1" xr:uid="{08AC15D0-EEC7-4B3B-8AD2-515795E5121C}"/>
    <cellStyle name="Normal 2 2" xfId="2" xr:uid="{6B1B6179-E8E4-4CCA-811D-AC19702363E1}"/>
  </cellStyles>
  <dxfs count="1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workbookViewId="0">
      <selection activeCell="K1" sqref="K1"/>
    </sheetView>
  </sheetViews>
  <sheetFormatPr defaultColWidth="11.42578125" defaultRowHeight="15" x14ac:dyDescent="0.25"/>
  <cols>
    <col min="2" max="2" width="53.5703125" bestFit="1" customWidth="1"/>
  </cols>
  <sheetData>
    <row r="1" spans="1:16" x14ac:dyDescent="0.25">
      <c r="A1" t="s">
        <v>0</v>
      </c>
      <c r="B1" t="s">
        <v>1</v>
      </c>
      <c r="C1" t="s">
        <v>153</v>
      </c>
      <c r="D1" t="s">
        <v>154</v>
      </c>
      <c r="E1" t="s">
        <v>155</v>
      </c>
      <c r="F1" t="s">
        <v>110</v>
      </c>
      <c r="G1" t="s">
        <v>277</v>
      </c>
      <c r="H1" t="s">
        <v>156</v>
      </c>
      <c r="I1" t="s">
        <v>127</v>
      </c>
      <c r="J1" t="s">
        <v>157</v>
      </c>
      <c r="K1" t="s">
        <v>278</v>
      </c>
      <c r="L1" t="s">
        <v>279</v>
      </c>
      <c r="M1" t="s">
        <v>280</v>
      </c>
      <c r="N1" t="s">
        <v>99</v>
      </c>
      <c r="O1" t="s">
        <v>272</v>
      </c>
      <c r="P1" t="s">
        <v>273</v>
      </c>
    </row>
    <row r="2" spans="1:16" x14ac:dyDescent="0.25">
      <c r="A2" t="s">
        <v>5</v>
      </c>
      <c r="B2" t="s">
        <v>6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f>IF(K2=0,L2,K2)</f>
        <v>0</v>
      </c>
      <c r="N2">
        <v>1</v>
      </c>
      <c r="O2">
        <v>1</v>
      </c>
      <c r="P2">
        <v>1</v>
      </c>
    </row>
    <row r="3" spans="1:16" x14ac:dyDescent="0.25">
      <c r="A3" t="s">
        <v>9</v>
      </c>
      <c r="B3" t="s">
        <v>10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f t="shared" ref="M3:M50" si="0">IF(K3=0,L3,K3)</f>
        <v>0</v>
      </c>
      <c r="N3">
        <v>1</v>
      </c>
      <c r="O3">
        <v>1</v>
      </c>
      <c r="P3">
        <v>1</v>
      </c>
    </row>
    <row r="4" spans="1:16" x14ac:dyDescent="0.25">
      <c r="A4" t="s">
        <v>11</v>
      </c>
      <c r="B4" t="s">
        <v>12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0</v>
      </c>
      <c r="N4">
        <v>1</v>
      </c>
      <c r="O4">
        <v>1</v>
      </c>
      <c r="P4">
        <v>1</v>
      </c>
    </row>
    <row r="5" spans="1:16" x14ac:dyDescent="0.25">
      <c r="A5" t="s">
        <v>13</v>
      </c>
      <c r="B5" t="s">
        <v>14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0</v>
      </c>
      <c r="N5">
        <v>1</v>
      </c>
      <c r="O5">
        <v>1</v>
      </c>
      <c r="P5">
        <v>1</v>
      </c>
    </row>
    <row r="6" spans="1:16" x14ac:dyDescent="0.25">
      <c r="A6" t="s">
        <v>15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f t="shared" si="0"/>
        <v>1</v>
      </c>
      <c r="N6">
        <v>1</v>
      </c>
      <c r="O6">
        <v>1</v>
      </c>
      <c r="P6">
        <v>1</v>
      </c>
    </row>
    <row r="7" spans="1:16" x14ac:dyDescent="0.25">
      <c r="A7" s="5" t="s">
        <v>175</v>
      </c>
      <c r="B7" t="s">
        <v>176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f t="shared" ref="M7" si="1">IF(K7=0,L7,K7)</f>
        <v>1</v>
      </c>
      <c r="N7">
        <v>1</v>
      </c>
      <c r="O7">
        <v>1</v>
      </c>
      <c r="P7">
        <v>1</v>
      </c>
    </row>
    <row r="8" spans="1:16" x14ac:dyDescent="0.25">
      <c r="A8" t="s">
        <v>17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f t="shared" si="0"/>
        <v>1</v>
      </c>
      <c r="N8">
        <v>1</v>
      </c>
      <c r="O8">
        <v>1</v>
      </c>
      <c r="P8">
        <v>1</v>
      </c>
    </row>
    <row r="9" spans="1:16" x14ac:dyDescent="0.25">
      <c r="A9" s="5" t="s">
        <v>173</v>
      </c>
      <c r="B9" t="s">
        <v>174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f t="shared" ref="M9" si="2">IF(K9=0,L9,K9)</f>
        <v>1</v>
      </c>
      <c r="N9">
        <v>1</v>
      </c>
      <c r="O9">
        <v>1</v>
      </c>
      <c r="P9">
        <v>1</v>
      </c>
    </row>
    <row r="10" spans="1:16" x14ac:dyDescent="0.25">
      <c r="A10" t="s">
        <v>19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f t="shared" si="0"/>
        <v>1</v>
      </c>
      <c r="N10">
        <v>1</v>
      </c>
      <c r="O10">
        <v>1</v>
      </c>
      <c r="P10">
        <v>1</v>
      </c>
    </row>
    <row r="11" spans="1:16" x14ac:dyDescent="0.25">
      <c r="A11" t="s">
        <v>21</v>
      </c>
      <c r="B11" t="s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f t="shared" si="0"/>
        <v>1</v>
      </c>
      <c r="N11">
        <v>1</v>
      </c>
      <c r="O11">
        <v>1</v>
      </c>
      <c r="P11">
        <v>1</v>
      </c>
    </row>
    <row r="12" spans="1:16" x14ac:dyDescent="0.25">
      <c r="A12" t="s">
        <v>23</v>
      </c>
      <c r="B12" t="s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f t="shared" si="0"/>
        <v>1</v>
      </c>
      <c r="N12">
        <v>1</v>
      </c>
      <c r="O12">
        <v>1</v>
      </c>
      <c r="P12">
        <v>1</v>
      </c>
    </row>
    <row r="13" spans="1:16" x14ac:dyDescent="0.25">
      <c r="A13" t="s">
        <v>25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f t="shared" si="0"/>
        <v>1</v>
      </c>
      <c r="N13">
        <v>1</v>
      </c>
      <c r="O13">
        <v>1</v>
      </c>
      <c r="P13">
        <v>1</v>
      </c>
    </row>
    <row r="14" spans="1:16" x14ac:dyDescent="0.25">
      <c r="A14" t="s">
        <v>27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f t="shared" si="0"/>
        <v>1</v>
      </c>
      <c r="N14">
        <v>1</v>
      </c>
      <c r="O14">
        <v>1</v>
      </c>
      <c r="P14">
        <v>1</v>
      </c>
    </row>
    <row r="15" spans="1:16" x14ac:dyDescent="0.25">
      <c r="A15" t="s">
        <v>29</v>
      </c>
      <c r="B15" t="s">
        <v>30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0"/>
        <v>0</v>
      </c>
      <c r="N15">
        <v>0</v>
      </c>
      <c r="O15">
        <v>1</v>
      </c>
      <c r="P15">
        <v>1</v>
      </c>
    </row>
    <row r="16" spans="1:16" x14ac:dyDescent="0.25">
      <c r="A16" t="s">
        <v>31</v>
      </c>
      <c r="B16" t="s">
        <v>32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f t="shared" si="0"/>
        <v>0</v>
      </c>
      <c r="N16">
        <v>0</v>
      </c>
      <c r="O16">
        <v>0</v>
      </c>
      <c r="P16">
        <v>1</v>
      </c>
    </row>
    <row r="17" spans="1:16" x14ac:dyDescent="0.25">
      <c r="A17" t="s">
        <v>33</v>
      </c>
      <c r="B17" t="s">
        <v>34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f t="shared" si="0"/>
        <v>1</v>
      </c>
      <c r="N17">
        <v>1</v>
      </c>
      <c r="O17">
        <v>1</v>
      </c>
      <c r="P17">
        <v>1</v>
      </c>
    </row>
    <row r="18" spans="1:16" x14ac:dyDescent="0.25">
      <c r="A18" t="s">
        <v>35</v>
      </c>
      <c r="B18" t="s">
        <v>36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f t="shared" si="0"/>
        <v>1</v>
      </c>
      <c r="N18">
        <v>1</v>
      </c>
      <c r="O18">
        <v>1</v>
      </c>
      <c r="P18">
        <v>1</v>
      </c>
    </row>
    <row r="19" spans="1:16" x14ac:dyDescent="0.25">
      <c r="A19" t="s">
        <v>37</v>
      </c>
      <c r="B19" t="s">
        <v>38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f t="shared" si="0"/>
        <v>1</v>
      </c>
      <c r="N19">
        <v>1</v>
      </c>
      <c r="O19">
        <v>1</v>
      </c>
      <c r="P19">
        <v>1</v>
      </c>
    </row>
    <row r="20" spans="1:16" x14ac:dyDescent="0.25">
      <c r="A20" t="s">
        <v>39</v>
      </c>
      <c r="B20" t="s">
        <v>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f t="shared" si="0"/>
        <v>1</v>
      </c>
      <c r="N20">
        <v>1</v>
      </c>
      <c r="O20">
        <v>1</v>
      </c>
      <c r="P20">
        <v>1</v>
      </c>
    </row>
    <row r="21" spans="1:16" x14ac:dyDescent="0.25">
      <c r="A21" t="s">
        <v>41</v>
      </c>
      <c r="B21" t="s">
        <v>42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f t="shared" si="0"/>
        <v>1</v>
      </c>
      <c r="N21">
        <v>1</v>
      </c>
      <c r="O21">
        <v>1</v>
      </c>
      <c r="P21">
        <v>1</v>
      </c>
    </row>
    <row r="22" spans="1:16" x14ac:dyDescent="0.25">
      <c r="A22" t="s">
        <v>43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f t="shared" si="0"/>
        <v>1</v>
      </c>
      <c r="N22">
        <v>1</v>
      </c>
      <c r="O22">
        <v>1</v>
      </c>
      <c r="P22">
        <v>1</v>
      </c>
    </row>
    <row r="23" spans="1:16" x14ac:dyDescent="0.25">
      <c r="A23" t="s">
        <v>45</v>
      </c>
      <c r="B23" t="s">
        <v>46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f t="shared" si="0"/>
        <v>0</v>
      </c>
      <c r="N23">
        <v>1</v>
      </c>
      <c r="O23">
        <v>1</v>
      </c>
      <c r="P23">
        <v>1</v>
      </c>
    </row>
    <row r="24" spans="1:16" x14ac:dyDescent="0.25">
      <c r="A24" t="s">
        <v>47</v>
      </c>
      <c r="B24" t="s">
        <v>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f t="shared" si="0"/>
        <v>0</v>
      </c>
      <c r="N24">
        <v>1</v>
      </c>
      <c r="O24">
        <v>1</v>
      </c>
      <c r="P24">
        <v>1</v>
      </c>
    </row>
    <row r="25" spans="1:16" x14ac:dyDescent="0.25">
      <c r="A25" t="s">
        <v>49</v>
      </c>
      <c r="B25" t="s">
        <v>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f t="shared" si="0"/>
        <v>1</v>
      </c>
      <c r="N25">
        <v>1</v>
      </c>
      <c r="O25">
        <v>1</v>
      </c>
      <c r="P25">
        <v>1</v>
      </c>
    </row>
    <row r="26" spans="1:16" x14ac:dyDescent="0.25">
      <c r="A26" t="s">
        <v>51</v>
      </c>
      <c r="B26" t="s">
        <v>52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f t="shared" si="0"/>
        <v>1</v>
      </c>
      <c r="N26">
        <v>1</v>
      </c>
      <c r="O26">
        <v>1</v>
      </c>
      <c r="P26">
        <v>1</v>
      </c>
    </row>
    <row r="27" spans="1:16" x14ac:dyDescent="0.25">
      <c r="A27" t="s">
        <v>53</v>
      </c>
      <c r="B27" t="s">
        <v>54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f t="shared" si="0"/>
        <v>1</v>
      </c>
      <c r="N27">
        <v>1</v>
      </c>
      <c r="O27">
        <v>1</v>
      </c>
      <c r="P27">
        <v>1</v>
      </c>
    </row>
    <row r="28" spans="1:16" x14ac:dyDescent="0.25">
      <c r="A28" t="s">
        <v>55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f t="shared" si="0"/>
        <v>1</v>
      </c>
      <c r="N28">
        <v>1</v>
      </c>
      <c r="O28">
        <v>1</v>
      </c>
      <c r="P28">
        <v>1</v>
      </c>
    </row>
    <row r="29" spans="1:16" x14ac:dyDescent="0.25">
      <c r="A29" t="s">
        <v>57</v>
      </c>
      <c r="B29" t="s">
        <v>58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f t="shared" si="0"/>
        <v>0</v>
      </c>
      <c r="N29">
        <v>1</v>
      </c>
      <c r="O29">
        <v>1</v>
      </c>
      <c r="P29">
        <v>1</v>
      </c>
    </row>
    <row r="30" spans="1:16" x14ac:dyDescent="0.25">
      <c r="A30" t="s">
        <v>59</v>
      </c>
      <c r="B30" t="s">
        <v>60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f t="shared" si="0"/>
        <v>1</v>
      </c>
      <c r="N30">
        <v>1</v>
      </c>
      <c r="O30">
        <v>1</v>
      </c>
      <c r="P30">
        <v>1</v>
      </c>
    </row>
    <row r="31" spans="1:16" x14ac:dyDescent="0.25">
      <c r="A31" t="s">
        <v>61</v>
      </c>
      <c r="B31" t="s">
        <v>62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f t="shared" si="0"/>
        <v>1</v>
      </c>
      <c r="N31">
        <v>1</v>
      </c>
      <c r="O31">
        <v>1</v>
      </c>
      <c r="P31">
        <v>1</v>
      </c>
    </row>
    <row r="32" spans="1:16" x14ac:dyDescent="0.25">
      <c r="A32" t="s">
        <v>63</v>
      </c>
      <c r="B32" t="s">
        <v>64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f t="shared" si="0"/>
        <v>1</v>
      </c>
      <c r="N32">
        <v>1</v>
      </c>
      <c r="O32">
        <v>1</v>
      </c>
      <c r="P32">
        <v>1</v>
      </c>
    </row>
    <row r="33" spans="1:16" x14ac:dyDescent="0.25">
      <c r="A33" t="s">
        <v>65</v>
      </c>
      <c r="B33" t="s">
        <v>66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f t="shared" si="0"/>
        <v>1</v>
      </c>
      <c r="N33">
        <v>1</v>
      </c>
      <c r="O33">
        <v>1</v>
      </c>
      <c r="P33">
        <v>1</v>
      </c>
    </row>
    <row r="34" spans="1:16" x14ac:dyDescent="0.25">
      <c r="A34" t="s">
        <v>67</v>
      </c>
      <c r="B34" t="s">
        <v>68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f t="shared" si="0"/>
        <v>1</v>
      </c>
      <c r="N34">
        <v>1</v>
      </c>
      <c r="O34">
        <v>1</v>
      </c>
      <c r="P34">
        <v>1</v>
      </c>
    </row>
    <row r="35" spans="1:16" x14ac:dyDescent="0.25">
      <c r="A35" t="s">
        <v>69</v>
      </c>
      <c r="B35" t="s">
        <v>70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f t="shared" si="0"/>
        <v>1</v>
      </c>
      <c r="N35">
        <v>1</v>
      </c>
      <c r="O35">
        <v>1</v>
      </c>
      <c r="P35">
        <v>1</v>
      </c>
    </row>
    <row r="36" spans="1:16" x14ac:dyDescent="0.25">
      <c r="A36" t="s">
        <v>71</v>
      </c>
      <c r="B36" t="s">
        <v>72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f t="shared" si="0"/>
        <v>1</v>
      </c>
      <c r="N36">
        <v>1</v>
      </c>
      <c r="O36">
        <v>1</v>
      </c>
      <c r="P36">
        <v>1</v>
      </c>
    </row>
    <row r="37" spans="1:16" x14ac:dyDescent="0.25">
      <c r="A37" t="s">
        <v>73</v>
      </c>
      <c r="B37" t="s">
        <v>74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f t="shared" si="0"/>
        <v>1</v>
      </c>
      <c r="N37">
        <v>1</v>
      </c>
      <c r="O37">
        <v>1</v>
      </c>
      <c r="P37">
        <v>1</v>
      </c>
    </row>
    <row r="38" spans="1:16" x14ac:dyDescent="0.25">
      <c r="A38" t="s">
        <v>75</v>
      </c>
      <c r="B38" t="s">
        <v>76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f t="shared" si="0"/>
        <v>1</v>
      </c>
      <c r="N38">
        <v>1</v>
      </c>
      <c r="O38">
        <v>1</v>
      </c>
      <c r="P38">
        <v>1</v>
      </c>
    </row>
    <row r="39" spans="1:16" x14ac:dyDescent="0.25">
      <c r="A39" t="s">
        <v>77</v>
      </c>
      <c r="B39" t="s">
        <v>78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f t="shared" si="0"/>
        <v>1</v>
      </c>
      <c r="N39">
        <v>1</v>
      </c>
      <c r="O39">
        <v>1</v>
      </c>
      <c r="P39">
        <v>1</v>
      </c>
    </row>
    <row r="40" spans="1:16" x14ac:dyDescent="0.25">
      <c r="A40" t="s">
        <v>79</v>
      </c>
      <c r="B40" t="s">
        <v>80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f t="shared" si="0"/>
        <v>0</v>
      </c>
      <c r="N40">
        <v>1</v>
      </c>
      <c r="O40">
        <v>1</v>
      </c>
      <c r="P40">
        <v>1</v>
      </c>
    </row>
    <row r="41" spans="1:16" x14ac:dyDescent="0.25">
      <c r="A41" t="s">
        <v>81</v>
      </c>
      <c r="B41" t="s">
        <v>82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f t="shared" si="0"/>
        <v>0</v>
      </c>
      <c r="N41">
        <v>1</v>
      </c>
      <c r="O41">
        <v>1</v>
      </c>
      <c r="P41">
        <v>1</v>
      </c>
    </row>
    <row r="42" spans="1:16" x14ac:dyDescent="0.25">
      <c r="A42" t="s">
        <v>83</v>
      </c>
      <c r="B42" t="s">
        <v>82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f t="shared" si="0"/>
        <v>0</v>
      </c>
      <c r="N42">
        <v>1</v>
      </c>
      <c r="O42">
        <v>1</v>
      </c>
      <c r="P42">
        <v>1</v>
      </c>
    </row>
    <row r="43" spans="1:16" x14ac:dyDescent="0.25">
      <c r="A43" t="s">
        <v>84</v>
      </c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f t="shared" si="0"/>
        <v>0</v>
      </c>
      <c r="N43">
        <v>1</v>
      </c>
      <c r="O43">
        <v>1</v>
      </c>
      <c r="P43">
        <v>1</v>
      </c>
    </row>
    <row r="44" spans="1:16" x14ac:dyDescent="0.25">
      <c r="A44" t="s">
        <v>86</v>
      </c>
      <c r="B44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f t="shared" si="0"/>
        <v>0</v>
      </c>
      <c r="N44">
        <v>1</v>
      </c>
      <c r="O44">
        <v>1</v>
      </c>
      <c r="P44">
        <v>1</v>
      </c>
    </row>
    <row r="45" spans="1:16" x14ac:dyDescent="0.25">
      <c r="A45" t="s">
        <v>88</v>
      </c>
      <c r="B45" t="s">
        <v>89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f t="shared" si="0"/>
        <v>0</v>
      </c>
      <c r="N45">
        <v>1</v>
      </c>
      <c r="O45">
        <v>1</v>
      </c>
      <c r="P45">
        <v>1</v>
      </c>
    </row>
    <row r="46" spans="1:16" x14ac:dyDescent="0.25">
      <c r="A46" t="s">
        <v>90</v>
      </c>
      <c r="B46" t="s">
        <v>91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f t="shared" si="0"/>
        <v>0</v>
      </c>
      <c r="N46">
        <v>1</v>
      </c>
      <c r="O46">
        <v>1</v>
      </c>
      <c r="P46">
        <v>1</v>
      </c>
    </row>
    <row r="47" spans="1:16" x14ac:dyDescent="0.25">
      <c r="A47" t="s">
        <v>92</v>
      </c>
      <c r="B47" t="s">
        <v>93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f t="shared" si="0"/>
        <v>0</v>
      </c>
      <c r="N47">
        <v>1</v>
      </c>
      <c r="O47">
        <v>1</v>
      </c>
      <c r="P47">
        <v>1</v>
      </c>
    </row>
    <row r="48" spans="1:16" x14ac:dyDescent="0.25">
      <c r="A48" t="s">
        <v>94</v>
      </c>
      <c r="B48" t="s">
        <v>95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f t="shared" si="0"/>
        <v>0</v>
      </c>
      <c r="N48">
        <v>1</v>
      </c>
      <c r="O48">
        <v>1</v>
      </c>
      <c r="P48">
        <v>1</v>
      </c>
    </row>
    <row r="49" spans="1:16" x14ac:dyDescent="0.25">
      <c r="A49" t="s">
        <v>164</v>
      </c>
      <c r="B49" t="s">
        <v>165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f t="shared" si="0"/>
        <v>1</v>
      </c>
      <c r="N49">
        <v>1</v>
      </c>
      <c r="O49">
        <v>1</v>
      </c>
      <c r="P49">
        <v>1</v>
      </c>
    </row>
    <row r="50" spans="1:16" x14ac:dyDescent="0.25">
      <c r="A50" t="s">
        <v>166</v>
      </c>
      <c r="B50" t="s">
        <v>167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-1</v>
      </c>
      <c r="L50">
        <v>0</v>
      </c>
      <c r="M50">
        <f t="shared" si="0"/>
        <v>-1</v>
      </c>
      <c r="N50">
        <v>-1</v>
      </c>
      <c r="O50">
        <v>-1</v>
      </c>
      <c r="P50">
        <v>-1</v>
      </c>
    </row>
    <row r="51" spans="1:16" x14ac:dyDescent="0.25">
      <c r="A51" t="s">
        <v>169</v>
      </c>
      <c r="B51" t="s">
        <v>170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f t="shared" ref="M51" si="3">IF(K51=0,L51,K51)</f>
        <v>1</v>
      </c>
      <c r="N51">
        <v>1</v>
      </c>
      <c r="O51">
        <v>1</v>
      </c>
      <c r="P51">
        <v>1</v>
      </c>
    </row>
    <row r="52" spans="1:16" x14ac:dyDescent="0.25">
      <c r="A52" t="s">
        <v>171</v>
      </c>
      <c r="B52" t="s">
        <v>172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f t="shared" ref="M52" si="4">IF(K52=0,L52,K52)</f>
        <v>1</v>
      </c>
      <c r="N52">
        <v>1</v>
      </c>
      <c r="O52">
        <v>1</v>
      </c>
      <c r="P52">
        <v>1</v>
      </c>
    </row>
    <row r="53" spans="1:16" x14ac:dyDescent="0.25">
      <c r="A53" t="s">
        <v>177</v>
      </c>
      <c r="B53" t="s">
        <v>178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f t="shared" ref="M53" si="5">IF(K53=0,L53,K53)</f>
        <v>1</v>
      </c>
      <c r="N53">
        <v>1</v>
      </c>
      <c r="O53">
        <v>1</v>
      </c>
      <c r="P53">
        <v>1</v>
      </c>
    </row>
  </sheetData>
  <conditionalFormatting sqref="C2:P53">
    <cfRule type="cellIs" dxfId="14" priority="1" operator="equal">
      <formula>-1</formula>
    </cfRule>
    <cfRule type="cellIs" dxfId="13" priority="2" operator="equal">
      <formula>1</formula>
    </cfRule>
    <cfRule type="cellIs" dxfId="12" priority="3" operator="equal">
      <formula>"TURE"</formula>
    </cfRule>
  </conditionalFormatting>
  <conditionalFormatting sqref="D1:P1 C1:C48 C54:C1048576">
    <cfRule type="cellIs" dxfId="11" priority="8" operator="equal">
      <formula>1</formula>
    </cfRule>
    <cfRule type="cellIs" dxfId="10" priority="9" operator="equal">
      <formula>"TURE"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E028-8484-49CA-A937-F71C95C091CC}">
  <dimension ref="A1:D15"/>
  <sheetViews>
    <sheetView workbookViewId="0">
      <selection activeCell="C14" sqref="C14"/>
    </sheetView>
  </sheetViews>
  <sheetFormatPr defaultRowHeight="15" x14ac:dyDescent="0.25"/>
  <cols>
    <col min="3" max="3" width="34.85546875" bestFit="1" customWidth="1"/>
  </cols>
  <sheetData>
    <row r="1" spans="1:4" x14ac:dyDescent="0.25">
      <c r="A1" t="s">
        <v>158</v>
      </c>
      <c r="B1" t="s">
        <v>0</v>
      </c>
      <c r="C1" t="s">
        <v>159</v>
      </c>
      <c r="D1" t="s">
        <v>281</v>
      </c>
    </row>
    <row r="2" spans="1:4" x14ac:dyDescent="0.25">
      <c r="A2">
        <v>1</v>
      </c>
      <c r="B2" t="str" cm="1">
        <f t="array" ref="B2">INDEX('variable definitions Stephen'!$1:$1,2+A2)</f>
        <v>air_travel</v>
      </c>
      <c r="C2" t="s">
        <v>107</v>
      </c>
      <c r="D2">
        <f>LEN(B2)</f>
        <v>10</v>
      </c>
    </row>
    <row r="3" spans="1:4" x14ac:dyDescent="0.25">
      <c r="A3">
        <f>A2+1</f>
        <v>2</v>
      </c>
      <c r="B3" t="str" cm="1">
        <f t="array" ref="B3">INDEX('variable definitions Stephen'!$1:$1,2+A3)</f>
        <v>air_travel_d</v>
      </c>
      <c r="C3" t="s">
        <v>160</v>
      </c>
      <c r="D3">
        <f t="shared" ref="D3:D15" si="0">LEN(B3)</f>
        <v>12</v>
      </c>
    </row>
    <row r="4" spans="1:4" x14ac:dyDescent="0.25">
      <c r="A4">
        <f t="shared" ref="A4:A15" si="1">A3+1</f>
        <v>3</v>
      </c>
      <c r="B4" t="str" cm="1">
        <f t="array" ref="B4">INDEX('variable definitions Stephen'!$1:$1,2+A4)</f>
        <v>air_travel_i</v>
      </c>
      <c r="C4" t="s">
        <v>161</v>
      </c>
      <c r="D4">
        <f t="shared" si="0"/>
        <v>12</v>
      </c>
    </row>
    <row r="5" spans="1:4" x14ac:dyDescent="0.25">
      <c r="A5">
        <f t="shared" si="1"/>
        <v>4</v>
      </c>
      <c r="B5" t="str" cm="1">
        <f t="array" ref="B5">INDEX('variable definitions Stephen'!$1:$1,2+A5)</f>
        <v>public</v>
      </c>
      <c r="C5" t="s">
        <v>115</v>
      </c>
      <c r="D5">
        <f t="shared" si="0"/>
        <v>6</v>
      </c>
    </row>
    <row r="6" spans="1:4" x14ac:dyDescent="0.25">
      <c r="A6">
        <f t="shared" si="1"/>
        <v>5</v>
      </c>
      <c r="B6" t="str" cm="1">
        <f t="array" ref="B6">INDEX('variable definitions Stephen'!$1:$1,2+A6)</f>
        <v>pub_ex_season</v>
      </c>
      <c r="C6" t="s">
        <v>190</v>
      </c>
      <c r="D6">
        <f t="shared" si="0"/>
        <v>13</v>
      </c>
    </row>
    <row r="7" spans="1:4" x14ac:dyDescent="0.25">
      <c r="A7">
        <f t="shared" si="1"/>
        <v>6</v>
      </c>
      <c r="B7" t="str" cm="1">
        <f t="array" ref="B7">INDEX('variable definitions Stephen'!$1:$1,2+A7)</f>
        <v>cycling</v>
      </c>
      <c r="C7" t="s">
        <v>121</v>
      </c>
      <c r="D7">
        <f t="shared" si="0"/>
        <v>7</v>
      </c>
    </row>
    <row r="8" spans="1:4" x14ac:dyDescent="0.25">
      <c r="A8">
        <f t="shared" si="1"/>
        <v>7</v>
      </c>
      <c r="B8" t="str" cm="1">
        <f t="array" ref="B8">INDEX('variable definitions Stephen'!$1:$1,2+A8)</f>
        <v>other</v>
      </c>
      <c r="C8" t="s">
        <v>162</v>
      </c>
      <c r="D8">
        <f t="shared" si="0"/>
        <v>5</v>
      </c>
    </row>
    <row r="9" spans="1:4" x14ac:dyDescent="0.25">
      <c r="A9">
        <f t="shared" si="1"/>
        <v>8</v>
      </c>
      <c r="B9" t="str" cm="1">
        <f t="array" ref="B9">INDEX('variable definitions Stephen'!$1:$1,2+A9)</f>
        <v>taxis</v>
      </c>
      <c r="C9" t="s">
        <v>130</v>
      </c>
      <c r="D9">
        <f t="shared" si="0"/>
        <v>5</v>
      </c>
    </row>
    <row r="10" spans="1:4" x14ac:dyDescent="0.25">
      <c r="A10">
        <f t="shared" si="1"/>
        <v>9</v>
      </c>
      <c r="B10" t="str" cm="1">
        <f t="array" ref="B10">INDEX('variable definitions Stephen'!$1:$1,2+A10)</f>
        <v>vcle_prchse</v>
      </c>
      <c r="C10" t="s">
        <v>133</v>
      </c>
      <c r="D10">
        <f t="shared" si="0"/>
        <v>11</v>
      </c>
    </row>
    <row r="11" spans="1:4" x14ac:dyDescent="0.25">
      <c r="A11">
        <f t="shared" si="1"/>
        <v>10</v>
      </c>
      <c r="B11" t="str" cm="1">
        <f t="array" ref="B11">INDEX('variable definitions Stephen'!$1:$1,2+A11)</f>
        <v>vcle_run</v>
      </c>
      <c r="C11" t="s">
        <v>138</v>
      </c>
      <c r="D11">
        <f t="shared" si="0"/>
        <v>8</v>
      </c>
    </row>
    <row r="12" spans="1:4" x14ac:dyDescent="0.25">
      <c r="A12">
        <f t="shared" si="1"/>
        <v>11</v>
      </c>
      <c r="B12" t="str" cm="1">
        <f t="array" ref="B12">INDEX('variable definitions Stephen'!$1:$1,2+A12)</f>
        <v>vcle_total</v>
      </c>
      <c r="C12" t="s">
        <v>163</v>
      </c>
      <c r="D12">
        <f t="shared" si="0"/>
        <v>10</v>
      </c>
    </row>
    <row r="13" spans="1:4" x14ac:dyDescent="0.25">
      <c r="A13">
        <f t="shared" si="1"/>
        <v>12</v>
      </c>
      <c r="B13" t="str" cm="1">
        <f t="array" ref="B13">INDEX('variable definitions Stephen'!$1:$1,2+A13)</f>
        <v>surface</v>
      </c>
      <c r="C13" t="s">
        <v>274</v>
      </c>
      <c r="D13">
        <f t="shared" si="0"/>
        <v>7</v>
      </c>
    </row>
    <row r="14" spans="1:4" x14ac:dyDescent="0.25">
      <c r="A14">
        <f t="shared" si="1"/>
        <v>13</v>
      </c>
      <c r="B14" t="str" cm="1">
        <f t="array" ref="B14">INDEX('variable definitions Stephen'!$1:$1,2+A14)</f>
        <v>domestic</v>
      </c>
      <c r="C14" t="s">
        <v>275</v>
      </c>
      <c r="D14">
        <f t="shared" si="0"/>
        <v>8</v>
      </c>
    </row>
    <row r="15" spans="1:4" x14ac:dyDescent="0.25">
      <c r="A15">
        <f t="shared" si="1"/>
        <v>14</v>
      </c>
      <c r="B15" t="str" cm="1">
        <f t="array" ref="B15">INDEX('variable definitions Stephen'!$1:$1,2+A15)</f>
        <v>all</v>
      </c>
      <c r="C15" t="s">
        <v>276</v>
      </c>
      <c r="D15">
        <f t="shared" si="0"/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FAE7-C979-4073-A8DA-70C6A490466F}">
  <dimension ref="A1:K53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J40" sqref="J40"/>
    </sheetView>
  </sheetViews>
  <sheetFormatPr defaultRowHeight="15" x14ac:dyDescent="0.25"/>
  <cols>
    <col min="2" max="2" width="53.5703125" bestFit="1" customWidth="1"/>
  </cols>
  <sheetData>
    <row r="1" spans="1:11" x14ac:dyDescent="0.25">
      <c r="A1" t="s">
        <v>0</v>
      </c>
      <c r="B1" t="s">
        <v>1</v>
      </c>
      <c r="C1" t="s">
        <v>257</v>
      </c>
      <c r="D1" t="s">
        <v>258</v>
      </c>
      <c r="E1" t="s">
        <v>259</v>
      </c>
      <c r="F1" t="s">
        <v>157</v>
      </c>
      <c r="G1" t="s">
        <v>260</v>
      </c>
      <c r="H1" t="s">
        <v>261</v>
      </c>
      <c r="I1" t="s">
        <v>262</v>
      </c>
      <c r="J1" t="s">
        <v>267</v>
      </c>
      <c r="K1" t="s">
        <v>270</v>
      </c>
    </row>
    <row r="2" spans="1:11" x14ac:dyDescent="0.25">
      <c r="A2" t="s">
        <v>5</v>
      </c>
      <c r="B2" t="s">
        <v>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9</v>
      </c>
      <c r="B3" t="s">
        <v>10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11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13</v>
      </c>
      <c r="B5" t="s">
        <v>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15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s="5" t="s">
        <v>175</v>
      </c>
      <c r="B7" t="s">
        <v>176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17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s="5" t="s">
        <v>173</v>
      </c>
      <c r="B9" t="s">
        <v>174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19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21</v>
      </c>
      <c r="B11" t="s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23</v>
      </c>
      <c r="B12" t="s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</row>
    <row r="13" spans="1:11" x14ac:dyDescent="0.25">
      <c r="A13" t="s">
        <v>25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</row>
    <row r="14" spans="1:11" x14ac:dyDescent="0.25">
      <c r="A14" t="s">
        <v>27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29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31</v>
      </c>
      <c r="B16" t="s">
        <v>32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33</v>
      </c>
      <c r="B17" t="s">
        <v>34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35</v>
      </c>
      <c r="B18" t="s">
        <v>36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37</v>
      </c>
      <c r="B19" t="s">
        <v>38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39</v>
      </c>
      <c r="B20" t="s">
        <v>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41</v>
      </c>
      <c r="B21" t="s">
        <v>42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43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45</v>
      </c>
      <c r="B23" t="s">
        <v>46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47</v>
      </c>
      <c r="B24" t="s">
        <v>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49</v>
      </c>
      <c r="B25" t="s">
        <v>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51</v>
      </c>
      <c r="B26" t="s">
        <v>52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53</v>
      </c>
      <c r="B27" t="s">
        <v>54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55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</row>
    <row r="29" spans="1:11" x14ac:dyDescent="0.25">
      <c r="A29" t="s">
        <v>57</v>
      </c>
      <c r="B29" t="s">
        <v>58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59</v>
      </c>
      <c r="B30" t="s">
        <v>60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61</v>
      </c>
      <c r="B31" t="s">
        <v>62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63</v>
      </c>
      <c r="B32" t="s">
        <v>64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65</v>
      </c>
      <c r="B33" t="s">
        <v>66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</row>
    <row r="34" spans="1:11" x14ac:dyDescent="0.25">
      <c r="A34" t="s">
        <v>67</v>
      </c>
      <c r="B34" t="s">
        <v>68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69</v>
      </c>
      <c r="B35" t="s">
        <v>70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71</v>
      </c>
      <c r="B36" t="s">
        <v>72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</row>
    <row r="37" spans="1:11" x14ac:dyDescent="0.25">
      <c r="A37" t="s">
        <v>73</v>
      </c>
      <c r="B37" t="s">
        <v>74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</row>
    <row r="38" spans="1:11" x14ac:dyDescent="0.25">
      <c r="A38" t="s">
        <v>75</v>
      </c>
      <c r="B38" t="s">
        <v>76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</row>
    <row r="39" spans="1:11" x14ac:dyDescent="0.25">
      <c r="A39" t="s">
        <v>77</v>
      </c>
      <c r="B39" t="s">
        <v>78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79</v>
      </c>
      <c r="B40" t="s">
        <v>80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81</v>
      </c>
      <c r="B41" t="s">
        <v>82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83</v>
      </c>
      <c r="B42" t="s">
        <v>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84</v>
      </c>
      <c r="B43" t="s">
        <v>85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86</v>
      </c>
      <c r="B44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88</v>
      </c>
      <c r="B45" t="s">
        <v>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90</v>
      </c>
      <c r="B46" t="s">
        <v>91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92</v>
      </c>
      <c r="B47" t="s">
        <v>93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94</v>
      </c>
      <c r="B48" t="s">
        <v>95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164</v>
      </c>
      <c r="B49" t="s">
        <v>165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166</v>
      </c>
      <c r="B50" t="s">
        <v>167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169</v>
      </c>
      <c r="B51" t="s">
        <v>170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171</v>
      </c>
      <c r="B52" t="s">
        <v>172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</row>
    <row r="53" spans="1:11" x14ac:dyDescent="0.25">
      <c r="A53" t="s">
        <v>177</v>
      </c>
      <c r="B53" t="s">
        <v>178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</sheetData>
  <conditionalFormatting sqref="C2:K53">
    <cfRule type="cellIs" dxfId="9" priority="1" operator="equal">
      <formula>-1</formula>
    </cfRule>
    <cfRule type="cellIs" dxfId="8" priority="2" operator="equal">
      <formula>1</formula>
    </cfRule>
    <cfRule type="cellIs" dxfId="7" priority="3" operator="equal">
      <formula>"TURE"</formula>
    </cfRule>
  </conditionalFormatting>
  <conditionalFormatting sqref="D3:E53">
    <cfRule type="cellIs" dxfId="6" priority="9" operator="equal">
      <formula>1</formula>
    </cfRule>
    <cfRule type="cellIs" dxfId="5" priority="10" operator="equal">
      <formula>"TURE"</formula>
    </cfRule>
  </conditionalFormatting>
  <conditionalFormatting sqref="F1:K1">
    <cfRule type="cellIs" dxfId="4" priority="4" operator="equal">
      <formula>1</formula>
    </cfRule>
    <cfRule type="cellIs" dxfId="3" priority="5" operator="equal">
      <formula>"TURE"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AF4A-8EB0-4F03-9856-156B31725003}">
  <dimension ref="A1:C10"/>
  <sheetViews>
    <sheetView workbookViewId="0">
      <selection activeCell="C11" sqref="C11"/>
    </sheetView>
  </sheetViews>
  <sheetFormatPr defaultRowHeight="15" x14ac:dyDescent="0.25"/>
  <cols>
    <col min="2" max="2" width="14.5703125" bestFit="1" customWidth="1"/>
  </cols>
  <sheetData>
    <row r="1" spans="1:3" x14ac:dyDescent="0.25">
      <c r="A1" t="s">
        <v>158</v>
      </c>
      <c r="B1" t="s">
        <v>0</v>
      </c>
      <c r="C1" t="s">
        <v>159</v>
      </c>
    </row>
    <row r="2" spans="1:3" x14ac:dyDescent="0.25">
      <c r="A2">
        <v>1</v>
      </c>
      <c r="B2" t="str" cm="1">
        <f t="array" ref="B2">INDEX('variable definitions Maya'!$1:$1,2+A2)</f>
        <v>bus_and_coach</v>
      </c>
      <c r="C2" t="s">
        <v>263</v>
      </c>
    </row>
    <row r="3" spans="1:3" x14ac:dyDescent="0.25">
      <c r="A3">
        <f>A2+1</f>
        <v>2</v>
      </c>
      <c r="B3" t="str" cm="1">
        <f t="array" ref="B3">INDEX('variable definitions Maya'!$1:$1,2+A3)</f>
        <v>bicylces</v>
      </c>
      <c r="C3" t="s">
        <v>264</v>
      </c>
    </row>
    <row r="4" spans="1:3" x14ac:dyDescent="0.25">
      <c r="A4">
        <f t="shared" ref="A4:A10" si="0">A3+1</f>
        <v>3</v>
      </c>
      <c r="B4" t="str" cm="1">
        <f t="array" ref="B4">INDEX('variable definitions Maya'!$1:$1,2+A4)</f>
        <v>school</v>
      </c>
      <c r="C4" t="s">
        <v>93</v>
      </c>
    </row>
    <row r="5" spans="1:3" x14ac:dyDescent="0.25">
      <c r="A5">
        <f t="shared" si="0"/>
        <v>4</v>
      </c>
      <c r="B5" t="str" cm="1">
        <f t="array" ref="B5">INDEX('variable definitions Maya'!$1:$1,2+A5)</f>
        <v>taxis</v>
      </c>
      <c r="C5" t="s">
        <v>265</v>
      </c>
    </row>
    <row r="6" spans="1:3" x14ac:dyDescent="0.25">
      <c r="A6">
        <f t="shared" si="0"/>
        <v>5</v>
      </c>
      <c r="B6" t="str" cm="1">
        <f t="array" ref="B6">INDEX('variable definitions Maya'!$1:$1,2+A6)</f>
        <v>fuel</v>
      </c>
      <c r="C6" t="s">
        <v>266</v>
      </c>
    </row>
    <row r="7" spans="1:3" x14ac:dyDescent="0.25">
      <c r="A7">
        <f t="shared" si="0"/>
        <v>6</v>
      </c>
      <c r="B7" t="str" cm="1">
        <f t="array" ref="B7">INDEX('variable definitions Maya'!$1:$1,2+A7)</f>
        <v>servicing</v>
      </c>
      <c r="C7" t="s">
        <v>269</v>
      </c>
    </row>
    <row r="8" spans="1:3" x14ac:dyDescent="0.25">
      <c r="A8">
        <f t="shared" si="0"/>
        <v>7</v>
      </c>
      <c r="B8" t="str" cm="1">
        <f t="array" ref="B8">INDEX('variable definitions Maya'!$1:$1,2+A8)</f>
        <v>garage</v>
      </c>
      <c r="C8" t="s">
        <v>76</v>
      </c>
    </row>
    <row r="9" spans="1:3" x14ac:dyDescent="0.25">
      <c r="A9">
        <f t="shared" si="0"/>
        <v>8</v>
      </c>
      <c r="B9" t="str" cm="1">
        <f t="array" ref="B9">INDEX('variable definitions Maya'!$1:$1,2+A9)</f>
        <v>fees</v>
      </c>
      <c r="C9" t="s">
        <v>268</v>
      </c>
    </row>
    <row r="10" spans="1:3" x14ac:dyDescent="0.25">
      <c r="A10">
        <f t="shared" si="0"/>
        <v>9</v>
      </c>
      <c r="B10" t="str" cm="1">
        <f t="array" ref="B10">INDEX('variable definitions Maya'!$1:$1,2+A10)</f>
        <v>insurance</v>
      </c>
      <c r="C10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9A58-3CE1-4A17-9B3A-3F9A387A25F4}">
  <dimension ref="A1:X53"/>
  <sheetViews>
    <sheetView zoomScale="130" zoomScaleNormal="130" workbookViewId="0">
      <pane xSplit="2" ySplit="1" topLeftCell="F36" activePane="bottomRight" state="frozen"/>
      <selection pane="topRight" activeCell="C1" sqref="C1"/>
      <selection pane="bottomLeft" activeCell="A2" sqref="A2"/>
      <selection pane="bottomRight" activeCell="M45" sqref="M45"/>
    </sheetView>
  </sheetViews>
  <sheetFormatPr defaultColWidth="11.42578125" defaultRowHeight="15" x14ac:dyDescent="0.25"/>
  <cols>
    <col min="2" max="2" width="53.5703125" bestFit="1" customWidth="1"/>
  </cols>
  <sheetData>
    <row r="1" spans="1:24" x14ac:dyDescent="0.25">
      <c r="A1" t="s">
        <v>0</v>
      </c>
      <c r="B1" t="s">
        <v>1</v>
      </c>
      <c r="C1" t="s">
        <v>99</v>
      </c>
      <c r="D1" t="s">
        <v>280</v>
      </c>
      <c r="E1" t="s">
        <v>278</v>
      </c>
      <c r="F1" t="s">
        <v>279</v>
      </c>
      <c r="G1" t="s">
        <v>110</v>
      </c>
      <c r="H1" t="s">
        <v>156</v>
      </c>
      <c r="I1" t="s">
        <v>157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260</v>
      </c>
      <c r="V1" t="s">
        <v>270</v>
      </c>
      <c r="W1" t="s">
        <v>300</v>
      </c>
      <c r="X1" t="s">
        <v>301</v>
      </c>
    </row>
    <row r="2" spans="1:24" x14ac:dyDescent="0.25">
      <c r="A2" t="s">
        <v>5</v>
      </c>
      <c r="B2" t="s">
        <v>6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 t="s">
        <v>9</v>
      </c>
      <c r="B3" t="s">
        <v>10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 t="s">
        <v>11</v>
      </c>
      <c r="B4" t="s">
        <v>12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13</v>
      </c>
      <c r="B5" t="s">
        <v>14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t="s">
        <v>15</v>
      </c>
      <c r="B6" t="s">
        <v>16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A7" s="5" t="s">
        <v>175</v>
      </c>
      <c r="B7" t="s">
        <v>176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A8" t="s">
        <v>17</v>
      </c>
      <c r="B8" t="s">
        <v>18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 s="5" t="s">
        <v>173</v>
      </c>
      <c r="B9" t="s">
        <v>174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19</v>
      </c>
      <c r="B10" t="s">
        <v>20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 t="s">
        <v>21</v>
      </c>
      <c r="B11" t="s">
        <v>22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 t="s">
        <v>23</v>
      </c>
      <c r="B12" t="s">
        <v>24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</row>
    <row r="13" spans="1:24" x14ac:dyDescent="0.25">
      <c r="A13" t="s">
        <v>25</v>
      </c>
      <c r="B13" t="s">
        <v>26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</row>
    <row r="14" spans="1:24" x14ac:dyDescent="0.25">
      <c r="A14" t="s">
        <v>27</v>
      </c>
      <c r="B14" t="s">
        <v>28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</row>
    <row r="15" spans="1:24" x14ac:dyDescent="0.25">
      <c r="A15" t="s">
        <v>29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31</v>
      </c>
      <c r="B16" t="s">
        <v>32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33</v>
      </c>
      <c r="B17" t="s">
        <v>34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35</v>
      </c>
      <c r="B18" t="s">
        <v>36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37</v>
      </c>
      <c r="B19" t="s">
        <v>38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t="s">
        <v>39</v>
      </c>
      <c r="B20" t="s">
        <v>40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 t="s">
        <v>41</v>
      </c>
      <c r="B21" t="s">
        <v>42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43</v>
      </c>
      <c r="B22" t="s">
        <v>44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45</v>
      </c>
      <c r="B23" t="s">
        <v>46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47</v>
      </c>
      <c r="B24" t="s">
        <v>48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 t="s">
        <v>49</v>
      </c>
      <c r="B25" t="s">
        <v>50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</row>
    <row r="26" spans="1:24" x14ac:dyDescent="0.25">
      <c r="A26" t="s">
        <v>51</v>
      </c>
      <c r="B26" t="s">
        <v>52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</row>
    <row r="27" spans="1:24" x14ac:dyDescent="0.25">
      <c r="A27" t="s">
        <v>53</v>
      </c>
      <c r="B27" t="s">
        <v>54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</row>
    <row r="28" spans="1:24" x14ac:dyDescent="0.25">
      <c r="A28" t="s">
        <v>55</v>
      </c>
      <c r="B28" t="s">
        <v>56</v>
      </c>
      <c r="C28">
        <v>1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</row>
    <row r="29" spans="1:24" x14ac:dyDescent="0.25">
      <c r="A29" t="s">
        <v>57</v>
      </c>
      <c r="B29" t="s">
        <v>58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 t="s">
        <v>59</v>
      </c>
      <c r="B30" t="s">
        <v>60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</row>
    <row r="31" spans="1:24" x14ac:dyDescent="0.25">
      <c r="A31" t="s">
        <v>61</v>
      </c>
      <c r="B31" t="s">
        <v>62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</row>
    <row r="32" spans="1:24" x14ac:dyDescent="0.25">
      <c r="A32" t="s">
        <v>63</v>
      </c>
      <c r="B32" t="s">
        <v>64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</row>
    <row r="33" spans="1:24" x14ac:dyDescent="0.25">
      <c r="A33" t="s">
        <v>65</v>
      </c>
      <c r="B33" t="s">
        <v>66</v>
      </c>
      <c r="C33">
        <v>1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 t="s">
        <v>67</v>
      </c>
      <c r="B34" t="s">
        <v>68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t="s">
        <v>69</v>
      </c>
      <c r="B35" t="s">
        <v>70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</row>
    <row r="36" spans="1:24" x14ac:dyDescent="0.25">
      <c r="A36" t="s">
        <v>71</v>
      </c>
      <c r="B36" t="s">
        <v>72</v>
      </c>
      <c r="C36">
        <v>1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</row>
    <row r="37" spans="1:24" x14ac:dyDescent="0.25">
      <c r="A37" t="s">
        <v>73</v>
      </c>
      <c r="B37" t="s">
        <v>74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</row>
    <row r="38" spans="1:24" x14ac:dyDescent="0.25">
      <c r="A38" t="s">
        <v>75</v>
      </c>
      <c r="B38" t="s">
        <v>76</v>
      </c>
      <c r="C38">
        <v>1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</row>
    <row r="39" spans="1:24" x14ac:dyDescent="0.25">
      <c r="A39" t="s">
        <v>77</v>
      </c>
      <c r="B39" t="s">
        <v>78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</row>
    <row r="40" spans="1:24" x14ac:dyDescent="0.25">
      <c r="A40" t="s">
        <v>79</v>
      </c>
      <c r="B40" t="s">
        <v>80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81</v>
      </c>
      <c r="B41" s="11" t="s">
        <v>119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t="s">
        <v>83</v>
      </c>
      <c r="B42" t="s">
        <v>82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5">
      <c r="A43" t="s">
        <v>84</v>
      </c>
      <c r="B43" t="s">
        <v>85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5">
      <c r="A44" t="s">
        <v>86</v>
      </c>
      <c r="B44" t="s">
        <v>87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5">
      <c r="A45" t="s">
        <v>88</v>
      </c>
      <c r="B45" t="s">
        <v>89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 t="s">
        <v>90</v>
      </c>
      <c r="B46" t="s">
        <v>91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t="s">
        <v>92</v>
      </c>
      <c r="B47" t="s">
        <v>93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5">
      <c r="A48" t="s">
        <v>94</v>
      </c>
      <c r="B48" t="s">
        <v>95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t="s">
        <v>164</v>
      </c>
      <c r="B49" t="s">
        <v>165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</row>
    <row r="50" spans="1:24" x14ac:dyDescent="0.25">
      <c r="A50" t="s">
        <v>166</v>
      </c>
      <c r="B50" t="s">
        <v>167</v>
      </c>
      <c r="C50">
        <v>-1</v>
      </c>
      <c r="D50">
        <v>-1</v>
      </c>
      <c r="E50">
        <v>-1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-1</v>
      </c>
    </row>
    <row r="51" spans="1:24" x14ac:dyDescent="0.25">
      <c r="A51" t="s">
        <v>169</v>
      </c>
      <c r="B51" t="s">
        <v>170</v>
      </c>
      <c r="C51">
        <v>1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</row>
    <row r="52" spans="1:24" x14ac:dyDescent="0.25">
      <c r="A52" t="s">
        <v>171</v>
      </c>
      <c r="B52" t="s">
        <v>172</v>
      </c>
      <c r="C52">
        <v>1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</row>
    <row r="53" spans="1:24" x14ac:dyDescent="0.25">
      <c r="A53" t="s">
        <v>177</v>
      </c>
      <c r="B53" t="s">
        <v>178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</sheetData>
  <conditionalFormatting sqref="C1:X53">
    <cfRule type="cellIs" dxfId="2" priority="2" operator="equal">
      <formula>1</formula>
    </cfRule>
    <cfRule type="cellIs" dxfId="1" priority="3" operator="equal">
      <formula>"TURE"</formula>
    </cfRule>
  </conditionalFormatting>
  <conditionalFormatting sqref="C2:X53">
    <cfRule type="cellIs" dxfId="0" priority="1" operator="equal">
      <formula>-1</formula>
    </cfRule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E889-3285-44E3-A2EA-0F213BB9D8DA}">
  <dimension ref="A1:D23"/>
  <sheetViews>
    <sheetView workbookViewId="0">
      <selection activeCell="G27" sqref="G27"/>
    </sheetView>
  </sheetViews>
  <sheetFormatPr defaultRowHeight="15" x14ac:dyDescent="0.25"/>
  <cols>
    <col min="3" max="3" width="34.85546875" bestFit="1" customWidth="1"/>
  </cols>
  <sheetData>
    <row r="1" spans="1:4" x14ac:dyDescent="0.25">
      <c r="A1" t="s">
        <v>158</v>
      </c>
      <c r="B1" t="s">
        <v>0</v>
      </c>
      <c r="C1" t="s">
        <v>159</v>
      </c>
      <c r="D1" t="s">
        <v>281</v>
      </c>
    </row>
    <row r="2" spans="1:4" x14ac:dyDescent="0.25">
      <c r="A2">
        <v>1</v>
      </c>
      <c r="B2" t="str" cm="1">
        <f t="array" ref="B2">INDEX('variable definitions Stephen2'!$1:$1,2+A2)</f>
        <v>surface</v>
      </c>
      <c r="C2" t="s">
        <v>274</v>
      </c>
      <c r="D2">
        <f>LEN(B2)</f>
        <v>7</v>
      </c>
    </row>
    <row r="3" spans="1:4" x14ac:dyDescent="0.25">
      <c r="A3">
        <f>A2+1</f>
        <v>2</v>
      </c>
      <c r="B3" t="str" cm="1">
        <f t="array" ref="B3">INDEX('variable definitions Stephen2'!$1:$1,2+A3)</f>
        <v>vcle_total</v>
      </c>
      <c r="C3" t="s">
        <v>282</v>
      </c>
      <c r="D3">
        <f t="shared" ref="D3:D8" si="0">LEN(B3)</f>
        <v>10</v>
      </c>
    </row>
    <row r="4" spans="1:4" x14ac:dyDescent="0.25">
      <c r="A4">
        <f t="shared" ref="A4:A23" si="1">A3+1</f>
        <v>3</v>
      </c>
      <c r="B4" t="str" cm="1">
        <f t="array" ref="B4">INDEX('variable definitions Stephen2'!$1:$1,2+A4)</f>
        <v>vcle_prchse</v>
      </c>
      <c r="C4" t="s">
        <v>284</v>
      </c>
      <c r="D4">
        <f t="shared" si="0"/>
        <v>11</v>
      </c>
    </row>
    <row r="5" spans="1:4" x14ac:dyDescent="0.25">
      <c r="A5">
        <f t="shared" si="1"/>
        <v>4</v>
      </c>
      <c r="B5" t="str" cm="1">
        <f t="array" ref="B5">INDEX('variable definitions Stephen2'!$1:$1,2+A5)</f>
        <v>vcle_run</v>
      </c>
      <c r="C5" t="s">
        <v>283</v>
      </c>
      <c r="D5">
        <f t="shared" si="0"/>
        <v>8</v>
      </c>
    </row>
    <row r="6" spans="1:4" x14ac:dyDescent="0.25">
      <c r="A6">
        <f t="shared" si="1"/>
        <v>5</v>
      </c>
      <c r="B6" t="str" cm="1">
        <f t="array" ref="B6">INDEX('variable definitions Stephen2'!$1:$1,2+A6)</f>
        <v>public</v>
      </c>
      <c r="C6" t="s">
        <v>115</v>
      </c>
      <c r="D6">
        <f t="shared" si="0"/>
        <v>6</v>
      </c>
    </row>
    <row r="7" spans="1:4" x14ac:dyDescent="0.25">
      <c r="A7">
        <f t="shared" si="1"/>
        <v>6</v>
      </c>
      <c r="B7" t="str" cm="1">
        <f t="array" ref="B7">INDEX('variable definitions Stephen2'!$1:$1,2+A7)</f>
        <v>cycling</v>
      </c>
      <c r="C7" t="s">
        <v>121</v>
      </c>
      <c r="D7">
        <f t="shared" si="0"/>
        <v>7</v>
      </c>
    </row>
    <row r="8" spans="1:4" x14ac:dyDescent="0.25">
      <c r="A8">
        <f t="shared" si="1"/>
        <v>7</v>
      </c>
      <c r="B8" t="str" cm="1">
        <f t="array" ref="B8">INDEX('variable definitions Stephen2'!$1:$1,2+A8)</f>
        <v>taxis</v>
      </c>
      <c r="C8" t="s">
        <v>265</v>
      </c>
      <c r="D8">
        <f t="shared" si="0"/>
        <v>5</v>
      </c>
    </row>
    <row r="9" spans="1:4" x14ac:dyDescent="0.25">
      <c r="A9">
        <f t="shared" si="1"/>
        <v>8</v>
      </c>
      <c r="B9" t="str" cm="1">
        <f t="array" ref="B9">INDEX('variable definitions Stephen2'!$1:$1,2+A9)</f>
        <v>pub_multi</v>
      </c>
      <c r="C9" t="s">
        <v>296</v>
      </c>
      <c r="D9">
        <f t="shared" ref="D9:D19" si="2">LEN(B9)</f>
        <v>9</v>
      </c>
    </row>
    <row r="10" spans="1:4" x14ac:dyDescent="0.25">
      <c r="A10">
        <f t="shared" si="1"/>
        <v>9</v>
      </c>
      <c r="B10" t="str" cm="1">
        <f t="array" ref="B10">INDEX('variable definitions Stephen2'!$1:$1,2+A10)</f>
        <v>pub_bus_coach</v>
      </c>
      <c r="C10" t="s">
        <v>297</v>
      </c>
      <c r="D10">
        <f t="shared" si="2"/>
        <v>13</v>
      </c>
    </row>
    <row r="11" spans="1:4" x14ac:dyDescent="0.25">
      <c r="A11">
        <f t="shared" si="1"/>
        <v>10</v>
      </c>
      <c r="B11" t="str" cm="1">
        <f t="array" ref="B11">INDEX('variable definitions Stephen2'!$1:$1,2+A11)</f>
        <v>pub_rail_tube</v>
      </c>
      <c r="C11" t="s">
        <v>298</v>
      </c>
      <c r="D11">
        <f t="shared" si="2"/>
        <v>13</v>
      </c>
    </row>
    <row r="12" spans="1:4" x14ac:dyDescent="0.25">
      <c r="A12">
        <f t="shared" si="1"/>
        <v>11</v>
      </c>
      <c r="B12" t="str" cm="1">
        <f t="array" ref="B12">INDEX('variable definitions Stephen2'!$1:$1,2+A12)</f>
        <v>pub_water</v>
      </c>
      <c r="C12" t="s">
        <v>299</v>
      </c>
      <c r="D12">
        <f t="shared" si="2"/>
        <v>9</v>
      </c>
    </row>
    <row r="13" spans="1:4" x14ac:dyDescent="0.25">
      <c r="A13">
        <f t="shared" si="1"/>
        <v>12</v>
      </c>
      <c r="B13" t="str" cm="1">
        <f t="array" ref="B13">INDEX('variable definitions Stephen2'!$1:$1,2+A13)</f>
        <v>motor1</v>
      </c>
      <c r="C13" t="s">
        <v>16</v>
      </c>
      <c r="D13">
        <f t="shared" si="2"/>
        <v>6</v>
      </c>
    </row>
    <row r="14" spans="1:4" x14ac:dyDescent="0.25">
      <c r="A14">
        <f t="shared" si="1"/>
        <v>13</v>
      </c>
      <c r="B14" t="str" cm="1">
        <f t="array" ref="B14">INDEX('variable definitions Stephen2'!$1:$1,2+A14)</f>
        <v>motor2</v>
      </c>
      <c r="C14" t="s">
        <v>18</v>
      </c>
      <c r="D14">
        <f t="shared" si="2"/>
        <v>6</v>
      </c>
    </row>
    <row r="15" spans="1:4" x14ac:dyDescent="0.25">
      <c r="A15">
        <f t="shared" si="1"/>
        <v>14</v>
      </c>
      <c r="B15" t="str" cm="1">
        <f t="array" ref="B15">INDEX('variable definitions Stephen2'!$1:$1,2+A15)</f>
        <v>motor3</v>
      </c>
      <c r="C15" t="s">
        <v>20</v>
      </c>
      <c r="D15">
        <f t="shared" si="2"/>
        <v>6</v>
      </c>
    </row>
    <row r="16" spans="1:4" x14ac:dyDescent="0.25">
      <c r="A16">
        <f t="shared" si="1"/>
        <v>15</v>
      </c>
      <c r="B16" t="str" cm="1">
        <f t="array" ref="B16">INDEX('variable definitions Stephen2'!$1:$1,2+A16)</f>
        <v>motor4</v>
      </c>
      <c r="C16" t="s">
        <v>36</v>
      </c>
      <c r="D16">
        <f t="shared" si="2"/>
        <v>6</v>
      </c>
    </row>
    <row r="17" spans="1:4" x14ac:dyDescent="0.25">
      <c r="A17">
        <f t="shared" si="1"/>
        <v>16</v>
      </c>
      <c r="B17" t="str" cm="1">
        <f t="array" ref="B17">INDEX('variable definitions Stephen2'!$1:$1,2+A17)</f>
        <v>motor5</v>
      </c>
      <c r="C17" t="s">
        <v>40</v>
      </c>
      <c r="D17">
        <f t="shared" si="2"/>
        <v>6</v>
      </c>
    </row>
    <row r="18" spans="1:4" x14ac:dyDescent="0.25">
      <c r="A18">
        <f t="shared" si="1"/>
        <v>17</v>
      </c>
      <c r="B18" t="str" cm="1">
        <f t="array" ref="B18">INDEX('variable definitions Stephen2'!$1:$1,2+A18)</f>
        <v>motor6</v>
      </c>
      <c r="C18" t="s">
        <v>44</v>
      </c>
      <c r="D18">
        <f t="shared" si="2"/>
        <v>6</v>
      </c>
    </row>
    <row r="19" spans="1:4" x14ac:dyDescent="0.25">
      <c r="A19">
        <f t="shared" si="1"/>
        <v>18</v>
      </c>
      <c r="B19" t="str" cm="1">
        <f t="array" ref="B19">INDEX('variable definitions Stephen2'!$1:$1,2+A19)</f>
        <v>motor7</v>
      </c>
      <c r="C19" t="s">
        <v>22</v>
      </c>
      <c r="D19">
        <f t="shared" si="2"/>
        <v>6</v>
      </c>
    </row>
    <row r="20" spans="1:4" x14ac:dyDescent="0.25">
      <c r="A20">
        <f t="shared" si="1"/>
        <v>19</v>
      </c>
      <c r="B20" t="str" cm="1">
        <f t="array" ref="B20">INDEX('variable definitions Stephen2'!$1:$1,2+A20)</f>
        <v>fuel</v>
      </c>
      <c r="C20" t="s">
        <v>302</v>
      </c>
      <c r="D20">
        <f t="shared" ref="D20:D23" si="3">LEN(B20)</f>
        <v>4</v>
      </c>
    </row>
    <row r="21" spans="1:4" x14ac:dyDescent="0.25">
      <c r="A21">
        <f t="shared" si="1"/>
        <v>20</v>
      </c>
      <c r="B21" t="str" cm="1">
        <f t="array" ref="B21">INDEX('variable definitions Stephen2'!$1:$1,2+A21)</f>
        <v>insurance</v>
      </c>
      <c r="C21" t="s">
        <v>152</v>
      </c>
      <c r="D21">
        <f t="shared" si="3"/>
        <v>9</v>
      </c>
    </row>
    <row r="22" spans="1:4" x14ac:dyDescent="0.25">
      <c r="A22">
        <f t="shared" si="1"/>
        <v>21</v>
      </c>
      <c r="B22" t="str" cm="1">
        <f t="array" ref="B22">INDEX('variable definitions Stephen2'!$1:$1,2+A22)</f>
        <v>maintenance</v>
      </c>
      <c r="C22" t="s">
        <v>303</v>
      </c>
      <c r="D22">
        <f t="shared" si="3"/>
        <v>11</v>
      </c>
    </row>
    <row r="23" spans="1:4" x14ac:dyDescent="0.25">
      <c r="A23">
        <f t="shared" si="1"/>
        <v>22</v>
      </c>
      <c r="B23" t="str" cm="1">
        <f t="array" ref="B23">INDEX('variable definitions Stephen2'!$1:$1,2+A23)</f>
        <v>motor_other</v>
      </c>
      <c r="C23" t="s">
        <v>304</v>
      </c>
      <c r="D23">
        <f t="shared" si="3"/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A6D8-E069-4A0F-83C9-00493B37461E}">
  <dimension ref="A1:K53"/>
  <sheetViews>
    <sheetView tabSelected="1" topLeftCell="A29" workbookViewId="0">
      <selection activeCell="R39" sqref="R3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J1" t="str">
        <f>'variable definitions Stephen2'!A1</f>
        <v>variable</v>
      </c>
      <c r="K1" t="str">
        <f>'variable definitions Stephen2'!B1</f>
        <v>description</v>
      </c>
    </row>
    <row r="2" spans="1:11" x14ac:dyDescent="0.25">
      <c r="A2" t="s">
        <v>5</v>
      </c>
      <c r="B2" t="s">
        <v>6</v>
      </c>
      <c r="C2" t="s">
        <v>7</v>
      </c>
      <c r="E2" t="s">
        <v>8</v>
      </c>
      <c r="F2">
        <f>MATCH(A2,'variable definitions Stephen2'!A:A)</f>
        <v>2</v>
      </c>
      <c r="I2">
        <f>MATCH(J2,A:A,0)</f>
        <v>2</v>
      </c>
      <c r="J2" t="str">
        <f>'variable definitions Stephen2'!A2</f>
        <v>b216</v>
      </c>
      <c r="K2" t="str">
        <f>'variable definitions Stephen2'!B2</f>
        <v>Bus + tube and/or rail season</v>
      </c>
    </row>
    <row r="3" spans="1:11" x14ac:dyDescent="0.25">
      <c r="A3" t="s">
        <v>9</v>
      </c>
      <c r="B3" t="s">
        <v>10</v>
      </c>
      <c r="C3" t="s">
        <v>7</v>
      </c>
      <c r="E3" t="s">
        <v>8</v>
      </c>
      <c r="F3">
        <f>MATCH(A3,'variable definitions Stephen2'!A:A)</f>
        <v>3</v>
      </c>
      <c r="I3">
        <f t="shared" ref="I3:I53" si="0">MATCH(J3,A:A,0)</f>
        <v>3</v>
      </c>
      <c r="J3" t="str">
        <f>'variable definitions Stephen2'!A3</f>
        <v>b217</v>
      </c>
      <c r="K3" t="str">
        <f>'variable definitions Stephen2'!B3</f>
        <v>Season ticket - bus / coach - total net amount</v>
      </c>
    </row>
    <row r="4" spans="1:11" x14ac:dyDescent="0.25">
      <c r="A4" t="s">
        <v>11</v>
      </c>
      <c r="B4" t="s">
        <v>12</v>
      </c>
      <c r="C4" t="s">
        <v>7</v>
      </c>
      <c r="E4" t="s">
        <v>8</v>
      </c>
      <c r="F4">
        <f>MATCH(A4,'variable definitions Stephen2'!A:A)</f>
        <v>4</v>
      </c>
      <c r="I4">
        <f t="shared" si="0"/>
        <v>4</v>
      </c>
      <c r="J4" t="str">
        <f>'variable definitions Stephen2'!A4</f>
        <v>b218</v>
      </c>
      <c r="K4" t="str">
        <f>'variable definitions Stephen2'!B4</f>
        <v>Season ticket - rail / tube - total net amount</v>
      </c>
    </row>
    <row r="5" spans="1:11" x14ac:dyDescent="0.25">
      <c r="A5" t="s">
        <v>13</v>
      </c>
      <c r="B5" t="s">
        <v>14</v>
      </c>
      <c r="C5" t="s">
        <v>7</v>
      </c>
      <c r="E5" t="s">
        <v>8</v>
      </c>
      <c r="F5">
        <f>MATCH(A5,'variable definitions Stephen2'!A:A)</f>
        <v>5</v>
      </c>
      <c r="I5">
        <f t="shared" si="0"/>
        <v>5</v>
      </c>
      <c r="J5" t="str">
        <f>'variable definitions Stephen2'!A5</f>
        <v>b219</v>
      </c>
      <c r="K5" t="str">
        <f>'variable definitions Stephen2'!B5</f>
        <v>Water travel season ticket</v>
      </c>
    </row>
    <row r="6" spans="1:11" x14ac:dyDescent="0.25">
      <c r="A6" t="s">
        <v>15</v>
      </c>
      <c r="B6" t="s">
        <v>16</v>
      </c>
      <c r="C6" t="s">
        <v>7</v>
      </c>
      <c r="E6" t="s">
        <v>8</v>
      </c>
      <c r="F6">
        <f>MATCH(A6,'variable definitions Stephen2'!A:A)</f>
        <v>6</v>
      </c>
      <c r="I6">
        <f t="shared" si="0"/>
        <v>6</v>
      </c>
      <c r="J6" t="str">
        <f>'variable definitions Stephen2'!A6</f>
        <v>b244</v>
      </c>
      <c r="K6" t="str">
        <f>'variable definitions Stephen2'!B6</f>
        <v>Vehicle - cost of new car | van outright</v>
      </c>
    </row>
    <row r="7" spans="1:11" x14ac:dyDescent="0.25">
      <c r="A7" t="s">
        <v>17</v>
      </c>
      <c r="B7" t="s">
        <v>18</v>
      </c>
      <c r="C7" t="s">
        <v>7</v>
      </c>
      <c r="E7" t="s">
        <v>8</v>
      </c>
      <c r="F7">
        <f>MATCH(A7,'variable definitions Stephen2'!A:A)</f>
        <v>8</v>
      </c>
      <c r="I7" s="11" t="e">
        <f t="shared" si="0"/>
        <v>#N/A</v>
      </c>
      <c r="J7" s="11" t="str">
        <f>'variable definitions Stephen2'!A7</f>
        <v>b2441</v>
      </c>
      <c r="K7" t="str">
        <f>'variable definitions Stephen2'!B7</f>
        <v>Vehicle - cost of new motor caravan outright</v>
      </c>
    </row>
    <row r="8" spans="1:11" x14ac:dyDescent="0.25">
      <c r="A8" t="s">
        <v>19</v>
      </c>
      <c r="B8" t="s">
        <v>20</v>
      </c>
      <c r="C8" t="s">
        <v>7</v>
      </c>
      <c r="E8" t="s">
        <v>8</v>
      </c>
      <c r="F8">
        <f>MATCH(A8,'variable definitions Stephen2'!A:A)</f>
        <v>10</v>
      </c>
      <c r="I8" s="11">
        <f t="shared" si="0"/>
        <v>7</v>
      </c>
      <c r="J8" s="11" t="str">
        <f>'variable definitions Stephen2'!A8</f>
        <v>b245</v>
      </c>
      <c r="K8" t="str">
        <f>'variable definitions Stephen2'!B8</f>
        <v>Vehicle - cost of 2nd hand car | van outright</v>
      </c>
    </row>
    <row r="9" spans="1:11" x14ac:dyDescent="0.25">
      <c r="A9" t="s">
        <v>21</v>
      </c>
      <c r="B9" t="s">
        <v>22</v>
      </c>
      <c r="C9" t="s">
        <v>7</v>
      </c>
      <c r="E9" t="s">
        <v>8</v>
      </c>
      <c r="F9">
        <f>MATCH(A9,'variable definitions Stephen2'!A:A)</f>
        <v>11</v>
      </c>
      <c r="I9" s="11" t="e">
        <f t="shared" si="0"/>
        <v>#N/A</v>
      </c>
      <c r="J9" s="11" t="str">
        <f>'variable definitions Stephen2'!A9</f>
        <v>b2451</v>
      </c>
      <c r="K9" t="str">
        <f>'variable definitions Stephen2'!B9</f>
        <v>Vehicle cost of 2nd hand motor caravan outright</v>
      </c>
    </row>
    <row r="10" spans="1:11" x14ac:dyDescent="0.25">
      <c r="A10" t="s">
        <v>23</v>
      </c>
      <c r="B10" t="s">
        <v>24</v>
      </c>
      <c r="C10" t="s">
        <v>7</v>
      </c>
      <c r="E10" t="s">
        <v>8</v>
      </c>
      <c r="F10">
        <f>MATCH(A10,'variable definitions Stephen2'!A:A)</f>
        <v>12</v>
      </c>
      <c r="I10">
        <f t="shared" si="0"/>
        <v>8</v>
      </c>
      <c r="J10" t="str">
        <f>'variable definitions Stephen2'!A10</f>
        <v>b247</v>
      </c>
      <c r="K10" t="str">
        <f>'variable definitions Stephen2'!B10</f>
        <v>Vehicle - cost of motorcycles outright</v>
      </c>
    </row>
    <row r="11" spans="1:11" x14ac:dyDescent="0.25">
      <c r="A11" t="s">
        <v>25</v>
      </c>
      <c r="B11" t="s">
        <v>26</v>
      </c>
      <c r="C11" t="s">
        <v>7</v>
      </c>
      <c r="E11" t="s">
        <v>8</v>
      </c>
      <c r="F11">
        <f>MATCH(A11,'variable definitions Stephen2'!A:A)</f>
        <v>13</v>
      </c>
      <c r="I11">
        <f t="shared" si="0"/>
        <v>9</v>
      </c>
      <c r="J11" t="str">
        <f>'variable definitions Stephen2'!A11</f>
        <v>b248</v>
      </c>
      <c r="K11" t="str">
        <f>'variable definitions Stephen2'!B11</f>
        <v>Car leasing - expenditure on</v>
      </c>
    </row>
    <row r="12" spans="1:11" x14ac:dyDescent="0.25">
      <c r="A12" t="s">
        <v>27</v>
      </c>
      <c r="B12" t="s">
        <v>28</v>
      </c>
      <c r="C12" t="s">
        <v>7</v>
      </c>
      <c r="E12" t="s">
        <v>8</v>
      </c>
      <c r="F12">
        <f>MATCH(A12,'variable definitions Stephen2'!A:A)</f>
        <v>14</v>
      </c>
      <c r="I12">
        <f t="shared" si="0"/>
        <v>10</v>
      </c>
      <c r="J12" t="str">
        <f>'variable definitions Stephen2'!A12</f>
        <v>b249</v>
      </c>
      <c r="K12" t="str">
        <f>'variable definitions Stephen2'!B12</f>
        <v>Car or van - servicing: amount paid</v>
      </c>
    </row>
    <row r="13" spans="1:11" x14ac:dyDescent="0.25">
      <c r="A13" t="s">
        <v>29</v>
      </c>
      <c r="B13" t="s">
        <v>30</v>
      </c>
      <c r="C13" t="s">
        <v>7</v>
      </c>
      <c r="E13" t="s">
        <v>8</v>
      </c>
      <c r="F13">
        <f>MATCH(A13,'variable definitions Stephen2'!A:A)</f>
        <v>15</v>
      </c>
      <c r="I13">
        <f t="shared" si="0"/>
        <v>11</v>
      </c>
      <c r="J13" t="str">
        <f>'variable definitions Stephen2'!A13</f>
        <v>b250</v>
      </c>
      <c r="K13" t="str">
        <f>'variable definitions Stephen2'!B13</f>
        <v>Car or van - other works, repairs: amount paid</v>
      </c>
    </row>
    <row r="14" spans="1:11" x14ac:dyDescent="0.25">
      <c r="A14" t="s">
        <v>31</v>
      </c>
      <c r="B14" t="s">
        <v>32</v>
      </c>
      <c r="C14" t="s">
        <v>7</v>
      </c>
      <c r="E14" t="s">
        <v>8</v>
      </c>
      <c r="F14">
        <f>MATCH(A14,'variable definitions Stephen2'!A:A)</f>
        <v>16</v>
      </c>
      <c r="I14">
        <f t="shared" si="0"/>
        <v>12</v>
      </c>
      <c r="J14" t="str">
        <f>'variable definitions Stephen2'!A14</f>
        <v>b252</v>
      </c>
      <c r="K14" t="str">
        <f>'variable definitions Stephen2'!B14</f>
        <v>Motorcycle - services, repairs: amount paid</v>
      </c>
    </row>
    <row r="15" spans="1:11" x14ac:dyDescent="0.25">
      <c r="A15" t="s">
        <v>33</v>
      </c>
      <c r="B15" t="s">
        <v>34</v>
      </c>
      <c r="C15" t="s">
        <v>7</v>
      </c>
      <c r="E15" t="s">
        <v>8</v>
      </c>
      <c r="F15">
        <f>MATCH(A15,'variable definitions Stephen2'!A:A)</f>
        <v>17</v>
      </c>
      <c r="I15">
        <f t="shared" si="0"/>
        <v>13</v>
      </c>
      <c r="J15" t="str">
        <f>'variable definitions Stephen2'!A15</f>
        <v>b487</v>
      </c>
      <c r="K15" t="str">
        <f>'variable definitions Stephen2'!B15</f>
        <v>Domestic flight expenditure</v>
      </c>
    </row>
    <row r="16" spans="1:11" x14ac:dyDescent="0.25">
      <c r="A16" t="s">
        <v>35</v>
      </c>
      <c r="B16" t="s">
        <v>36</v>
      </c>
      <c r="C16" t="s">
        <v>7</v>
      </c>
      <c r="E16" t="s">
        <v>8</v>
      </c>
      <c r="F16">
        <f>MATCH(A16,'variable definitions Stephen2'!A:A)</f>
        <v>18</v>
      </c>
      <c r="I16">
        <f t="shared" si="0"/>
        <v>14</v>
      </c>
      <c r="J16" t="str">
        <f>'variable definitions Stephen2'!A16</f>
        <v>b488</v>
      </c>
      <c r="K16" t="str">
        <f>'variable definitions Stephen2'!B16</f>
        <v>International flight expenditure</v>
      </c>
    </row>
    <row r="17" spans="1:11" x14ac:dyDescent="0.25">
      <c r="A17" t="s">
        <v>37</v>
      </c>
      <c r="B17" t="s">
        <v>38</v>
      </c>
      <c r="C17" t="s">
        <v>7</v>
      </c>
      <c r="E17" t="s">
        <v>8</v>
      </c>
      <c r="F17">
        <f>MATCH(A17,'variable definitions Stephen2'!A:A)</f>
        <v>19</v>
      </c>
      <c r="I17">
        <f t="shared" si="0"/>
        <v>15</v>
      </c>
      <c r="J17" t="str">
        <f>'variable definitions Stephen2'!A17</f>
        <v>c71111c</v>
      </c>
      <c r="K17" t="str">
        <f>'variable definitions Stephen2'!B17</f>
        <v>Outright purchase of new car/van</v>
      </c>
    </row>
    <row r="18" spans="1:11" x14ac:dyDescent="0.25">
      <c r="A18" t="s">
        <v>39</v>
      </c>
      <c r="B18" t="s">
        <v>40</v>
      </c>
      <c r="C18" t="s">
        <v>7</v>
      </c>
      <c r="E18" t="s">
        <v>8</v>
      </c>
      <c r="F18">
        <f>MATCH(A18,'variable definitions Stephen2'!A:A)</f>
        <v>20</v>
      </c>
      <c r="I18">
        <f t="shared" si="0"/>
        <v>16</v>
      </c>
      <c r="J18" t="str">
        <f>'variable definitions Stephen2'!A18</f>
        <v>c71112t</v>
      </c>
      <c r="K18" t="str">
        <f>'variable definitions Stephen2'!B18</f>
        <v>Loan / HP purchase of new car/van</v>
      </c>
    </row>
    <row r="19" spans="1:11" x14ac:dyDescent="0.25">
      <c r="A19" t="s">
        <v>41</v>
      </c>
      <c r="B19" t="s">
        <v>42</v>
      </c>
      <c r="C19" t="s">
        <v>7</v>
      </c>
      <c r="E19" t="s">
        <v>8</v>
      </c>
      <c r="F19">
        <f>MATCH(A19,'variable definitions Stephen2'!A:A)</f>
        <v>21</v>
      </c>
      <c r="I19">
        <f t="shared" si="0"/>
        <v>17</v>
      </c>
      <c r="J19" t="str">
        <f>'variable definitions Stephen2'!A19</f>
        <v>c71121c</v>
      </c>
      <c r="K19" t="str">
        <f>'variable definitions Stephen2'!B19</f>
        <v>Outright purchase of second-hand car/van</v>
      </c>
    </row>
    <row r="20" spans="1:11" x14ac:dyDescent="0.25">
      <c r="A20" t="s">
        <v>43</v>
      </c>
      <c r="B20" t="s">
        <v>44</v>
      </c>
      <c r="C20" t="s">
        <v>7</v>
      </c>
      <c r="E20" t="s">
        <v>8</v>
      </c>
      <c r="F20">
        <f>MATCH(A20,'variable definitions Stephen2'!A:A)</f>
        <v>22</v>
      </c>
      <c r="I20">
        <f t="shared" si="0"/>
        <v>18</v>
      </c>
      <c r="J20" t="str">
        <f>'variable definitions Stephen2'!A20</f>
        <v>c71122t</v>
      </c>
      <c r="K20" t="str">
        <f>'variable definitions Stephen2'!B20</f>
        <v>Loan / HP purchase of second-hand car/van</v>
      </c>
    </row>
    <row r="21" spans="1:11" x14ac:dyDescent="0.25">
      <c r="A21" t="s">
        <v>45</v>
      </c>
      <c r="B21" t="s">
        <v>46</v>
      </c>
      <c r="C21" t="s">
        <v>7</v>
      </c>
      <c r="E21" t="s">
        <v>8</v>
      </c>
      <c r="F21">
        <f>MATCH(A21,'variable definitions Stephen2'!A:A)</f>
        <v>23</v>
      </c>
      <c r="I21">
        <f t="shared" si="0"/>
        <v>19</v>
      </c>
      <c r="J21" t="str">
        <f>'variable definitions Stephen2'!A21</f>
        <v>c71211c</v>
      </c>
      <c r="K21" t="str">
        <f>'variable definitions Stephen2'!B21</f>
        <v>Outright purchase of new or second-hand motorcycle</v>
      </c>
    </row>
    <row r="22" spans="1:11" x14ac:dyDescent="0.25">
      <c r="A22" t="s">
        <v>47</v>
      </c>
      <c r="B22" t="s">
        <v>48</v>
      </c>
      <c r="C22" t="s">
        <v>7</v>
      </c>
      <c r="E22" t="s">
        <v>8</v>
      </c>
      <c r="F22">
        <f>MATCH(A22,'variable definitions Stephen2'!A:A)</f>
        <v>24</v>
      </c>
      <c r="I22">
        <f t="shared" si="0"/>
        <v>20</v>
      </c>
      <c r="J22" t="str">
        <f>'variable definitions Stephen2'!A22</f>
        <v>c71212t</v>
      </c>
      <c r="K22" t="str">
        <f>'variable definitions Stephen2'!B22</f>
        <v>Loan / HP purchase of new or second-hand motorcycle</v>
      </c>
    </row>
    <row r="23" spans="1:11" x14ac:dyDescent="0.25">
      <c r="A23" t="s">
        <v>49</v>
      </c>
      <c r="B23" t="s">
        <v>50</v>
      </c>
      <c r="C23" t="s">
        <v>7</v>
      </c>
      <c r="E23" t="s">
        <v>8</v>
      </c>
      <c r="F23">
        <f>MATCH(A23,'variable definitions Stephen2'!A:A)</f>
        <v>25</v>
      </c>
      <c r="I23">
        <f t="shared" si="0"/>
        <v>21</v>
      </c>
      <c r="J23" t="str">
        <f>'variable definitions Stephen2'!A23</f>
        <v>c71311t</v>
      </c>
      <c r="K23" t="str">
        <f>'variable definitions Stephen2'!B23</f>
        <v>Purchase of bicycle</v>
      </c>
    </row>
    <row r="24" spans="1:11" x14ac:dyDescent="0.25">
      <c r="A24" t="s">
        <v>51</v>
      </c>
      <c r="B24" t="s">
        <v>52</v>
      </c>
      <c r="C24" t="s">
        <v>7</v>
      </c>
      <c r="E24" t="s">
        <v>8</v>
      </c>
      <c r="F24">
        <f>MATCH(A24,'variable definitions Stephen2'!A:A)</f>
        <v>26</v>
      </c>
      <c r="I24">
        <f t="shared" si="0"/>
        <v>22</v>
      </c>
      <c r="J24" t="str">
        <f>'variable definitions Stephen2'!A24</f>
        <v>c71411t</v>
      </c>
      <c r="K24" t="str">
        <f>'variable definitions Stephen2'!B24</f>
        <v>Animal drawn vehicles</v>
      </c>
    </row>
    <row r="25" spans="1:11" x14ac:dyDescent="0.25">
      <c r="A25" t="s">
        <v>53</v>
      </c>
      <c r="B25" t="s">
        <v>54</v>
      </c>
      <c r="C25" t="s">
        <v>7</v>
      </c>
      <c r="E25" t="s">
        <v>8</v>
      </c>
      <c r="F25">
        <f>MATCH(A25,'variable definitions Stephen2'!A:A)</f>
        <v>27</v>
      </c>
      <c r="I25">
        <f t="shared" si="0"/>
        <v>23</v>
      </c>
      <c r="J25" t="str">
        <f>'variable definitions Stephen2'!A25</f>
        <v>c72111t</v>
      </c>
      <c r="K25" t="str">
        <f>'variable definitions Stephen2'!B25</f>
        <v>Car van accessories and fittings</v>
      </c>
    </row>
    <row r="26" spans="1:11" x14ac:dyDescent="0.25">
      <c r="A26" t="s">
        <v>55</v>
      </c>
      <c r="B26" t="s">
        <v>56</v>
      </c>
      <c r="C26" t="s">
        <v>7</v>
      </c>
      <c r="E26" t="s">
        <v>8</v>
      </c>
      <c r="F26">
        <f>MATCH(A26,'variable definitions Stephen2'!A:A)</f>
        <v>28</v>
      </c>
      <c r="I26">
        <f t="shared" si="0"/>
        <v>24</v>
      </c>
      <c r="J26" t="str">
        <f>'variable definitions Stephen2'!A26</f>
        <v>c72112t</v>
      </c>
      <c r="K26" t="str">
        <f>'variable definitions Stephen2'!B26</f>
        <v>Car / van spare parts</v>
      </c>
    </row>
    <row r="27" spans="1:11" x14ac:dyDescent="0.25">
      <c r="A27" t="s">
        <v>57</v>
      </c>
      <c r="B27" t="s">
        <v>58</v>
      </c>
      <c r="C27" t="s">
        <v>7</v>
      </c>
      <c r="E27" t="s">
        <v>8</v>
      </c>
      <c r="F27">
        <f>MATCH(A27,'variable definitions Stephen2'!A:A)</f>
        <v>29</v>
      </c>
      <c r="I27">
        <f t="shared" si="0"/>
        <v>25</v>
      </c>
      <c r="J27" t="str">
        <f>'variable definitions Stephen2'!A27</f>
        <v>c72113t</v>
      </c>
      <c r="K27" t="str">
        <f>'variable definitions Stephen2'!B27</f>
        <v>Motorcycle accessories and spare parts</v>
      </c>
    </row>
    <row r="28" spans="1:11" x14ac:dyDescent="0.25">
      <c r="A28" t="s">
        <v>59</v>
      </c>
      <c r="B28" t="s">
        <v>60</v>
      </c>
      <c r="C28" t="s">
        <v>7</v>
      </c>
      <c r="E28" t="s">
        <v>8</v>
      </c>
      <c r="F28">
        <f>MATCH(A28,'variable definitions Stephen2'!A:A)</f>
        <v>30</v>
      </c>
      <c r="I28">
        <f t="shared" si="0"/>
        <v>26</v>
      </c>
      <c r="J28" t="str">
        <f>'variable definitions Stephen2'!A28</f>
        <v>c72114t</v>
      </c>
      <c r="K28" t="str">
        <f>'variable definitions Stephen2'!B28</f>
        <v>Anti-freeze, battery water, cleaning materials</v>
      </c>
    </row>
    <row r="29" spans="1:11" x14ac:dyDescent="0.25">
      <c r="A29" t="s">
        <v>61</v>
      </c>
      <c r="B29" t="s">
        <v>62</v>
      </c>
      <c r="C29" t="s">
        <v>7</v>
      </c>
      <c r="E29" t="s">
        <v>8</v>
      </c>
      <c r="F29">
        <f>MATCH(A29,'variable definitions Stephen2'!A:A)</f>
        <v>31</v>
      </c>
      <c r="I29">
        <f t="shared" si="0"/>
        <v>27</v>
      </c>
      <c r="J29" t="str">
        <f>'variable definitions Stephen2'!A29</f>
        <v>c72115t</v>
      </c>
      <c r="K29" t="str">
        <f>'variable definitions Stephen2'!B29</f>
        <v>Bicycle accessories, repairs and other costs</v>
      </c>
    </row>
    <row r="30" spans="1:11" x14ac:dyDescent="0.25">
      <c r="A30" t="s">
        <v>63</v>
      </c>
      <c r="B30" t="s">
        <v>64</v>
      </c>
      <c r="C30" t="s">
        <v>7</v>
      </c>
      <c r="E30" t="s">
        <v>8</v>
      </c>
      <c r="F30">
        <f>MATCH(A30,'variable definitions Stephen2'!A:A)</f>
        <v>32</v>
      </c>
      <c r="I30">
        <f t="shared" si="0"/>
        <v>28</v>
      </c>
      <c r="J30" t="str">
        <f>'variable definitions Stephen2'!A30</f>
        <v>c72211t</v>
      </c>
      <c r="K30" t="str">
        <f>'variable definitions Stephen2'!B30</f>
        <v>Petrol</v>
      </c>
    </row>
    <row r="31" spans="1:11" x14ac:dyDescent="0.25">
      <c r="A31" t="s">
        <v>65</v>
      </c>
      <c r="B31" t="s">
        <v>66</v>
      </c>
      <c r="C31" t="s">
        <v>7</v>
      </c>
      <c r="E31" t="s">
        <v>8</v>
      </c>
      <c r="F31">
        <f>MATCH(A31,'variable definitions Stephen2'!A:A)</f>
        <v>33</v>
      </c>
      <c r="I31">
        <f t="shared" si="0"/>
        <v>29</v>
      </c>
      <c r="J31" t="str">
        <f>'variable definitions Stephen2'!A31</f>
        <v>c72212t</v>
      </c>
      <c r="K31" t="str">
        <f>'variable definitions Stephen2'!B31</f>
        <v>Diesel oil</v>
      </c>
    </row>
    <row r="32" spans="1:11" x14ac:dyDescent="0.25">
      <c r="A32" t="s">
        <v>67</v>
      </c>
      <c r="B32" t="s">
        <v>68</v>
      </c>
      <c r="C32" t="s">
        <v>7</v>
      </c>
      <c r="E32" t="s">
        <v>8</v>
      </c>
      <c r="F32">
        <f>MATCH(A32,'variable definitions Stephen2'!A:A)</f>
        <v>34</v>
      </c>
      <c r="I32">
        <f t="shared" si="0"/>
        <v>30</v>
      </c>
      <c r="J32" t="str">
        <f>'variable definitions Stephen2'!A32</f>
        <v>c72213t</v>
      </c>
      <c r="K32" t="str">
        <f>'variable definitions Stephen2'!B32</f>
        <v>Other motor oils</v>
      </c>
    </row>
    <row r="33" spans="1:11" x14ac:dyDescent="0.25">
      <c r="A33" t="s">
        <v>69</v>
      </c>
      <c r="B33" t="s">
        <v>70</v>
      </c>
      <c r="C33" t="s">
        <v>7</v>
      </c>
      <c r="E33" t="s">
        <v>8</v>
      </c>
      <c r="F33">
        <f>MATCH(A33,'variable definitions Stephen2'!A:A)</f>
        <v>35</v>
      </c>
      <c r="I33">
        <f t="shared" si="0"/>
        <v>31</v>
      </c>
      <c r="J33" t="str">
        <f>'variable definitions Stephen2'!A33</f>
        <v>c72311c</v>
      </c>
      <c r="K33" t="str">
        <f>'variable definitions Stephen2'!B33</f>
        <v>Car or van repairs and servicing</v>
      </c>
    </row>
    <row r="34" spans="1:11" x14ac:dyDescent="0.25">
      <c r="A34" t="s">
        <v>71</v>
      </c>
      <c r="B34" t="s">
        <v>72</v>
      </c>
      <c r="C34" t="s">
        <v>7</v>
      </c>
      <c r="E34" t="s">
        <v>8</v>
      </c>
      <c r="F34">
        <f>MATCH(A34,'variable definitions Stephen2'!A:A)</f>
        <v>36</v>
      </c>
      <c r="I34">
        <f t="shared" si="0"/>
        <v>32</v>
      </c>
      <c r="J34" t="str">
        <f>'variable definitions Stephen2'!A34</f>
        <v>c72312c</v>
      </c>
      <c r="K34" t="str">
        <f>'variable definitions Stephen2'!B34</f>
        <v>Motor cycle repairs, service</v>
      </c>
    </row>
    <row r="35" spans="1:11" x14ac:dyDescent="0.25">
      <c r="A35" t="s">
        <v>73</v>
      </c>
      <c r="B35" t="s">
        <v>74</v>
      </c>
      <c r="C35" t="s">
        <v>7</v>
      </c>
      <c r="E35" t="s">
        <v>8</v>
      </c>
      <c r="F35">
        <f>MATCH(A35,'variable definitions Stephen2'!A:A)</f>
        <v>37</v>
      </c>
      <c r="I35">
        <f t="shared" si="0"/>
        <v>33</v>
      </c>
      <c r="J35" t="str">
        <f>'variable definitions Stephen2'!A35</f>
        <v>c72313t</v>
      </c>
      <c r="K35" t="str">
        <f>'variable definitions Stephen2'!B35</f>
        <v>Motoring organisation subscription (eg AA and RAC)</v>
      </c>
    </row>
    <row r="36" spans="1:11" x14ac:dyDescent="0.25">
      <c r="A36" t="s">
        <v>75</v>
      </c>
      <c r="B36" t="s">
        <v>76</v>
      </c>
      <c r="C36" t="s">
        <v>7</v>
      </c>
      <c r="E36" t="s">
        <v>8</v>
      </c>
      <c r="F36">
        <f>MATCH(A36,'variable definitions Stephen2'!A:A)</f>
        <v>38</v>
      </c>
      <c r="I36">
        <f t="shared" si="0"/>
        <v>34</v>
      </c>
      <c r="J36" t="str">
        <f>'variable definitions Stephen2'!A36</f>
        <v>c72314t</v>
      </c>
      <c r="K36" t="str">
        <f>'variable definitions Stephen2'!B36</f>
        <v>Car washing and breakdown services</v>
      </c>
    </row>
    <row r="37" spans="1:11" x14ac:dyDescent="0.25">
      <c r="A37" t="s">
        <v>77</v>
      </c>
      <c r="B37" t="s">
        <v>78</v>
      </c>
      <c r="C37" t="s">
        <v>7</v>
      </c>
      <c r="E37" t="s">
        <v>8</v>
      </c>
      <c r="F37">
        <f>MATCH(A37,'variable definitions Stephen2'!A:A)</f>
        <v>39</v>
      </c>
      <c r="I37">
        <f t="shared" si="0"/>
        <v>35</v>
      </c>
      <c r="J37" t="str">
        <f>'variable definitions Stephen2'!A37</f>
        <v>c72411t</v>
      </c>
      <c r="K37" t="str">
        <f>'variable definitions Stephen2'!B37</f>
        <v>Parking fees, tolls, and permits (excluding motoring fines)</v>
      </c>
    </row>
    <row r="38" spans="1:11" x14ac:dyDescent="0.25">
      <c r="A38" t="s">
        <v>79</v>
      </c>
      <c r="B38" t="s">
        <v>80</v>
      </c>
      <c r="C38" t="s">
        <v>7</v>
      </c>
      <c r="E38" t="s">
        <v>8</v>
      </c>
      <c r="F38">
        <f>MATCH(A38,'variable definitions Stephen2'!A:A)</f>
        <v>40</v>
      </c>
      <c r="I38">
        <f t="shared" si="0"/>
        <v>36</v>
      </c>
      <c r="J38" t="str">
        <f>'variable definitions Stephen2'!A38</f>
        <v>c72412t</v>
      </c>
      <c r="K38" t="str">
        <f>'variable definitions Stephen2'!B38</f>
        <v>Garage rent, MOT etc</v>
      </c>
    </row>
    <row r="39" spans="1:11" x14ac:dyDescent="0.25">
      <c r="A39" t="s">
        <v>81</v>
      </c>
      <c r="B39" t="s">
        <v>82</v>
      </c>
      <c r="C39" t="s">
        <v>7</v>
      </c>
      <c r="E39" t="s">
        <v>8</v>
      </c>
      <c r="F39">
        <f>MATCH(A39,'variable definitions Stephen2'!A:A)</f>
        <v>41</v>
      </c>
      <c r="I39">
        <f t="shared" si="0"/>
        <v>37</v>
      </c>
      <c r="J39" t="str">
        <f>'variable definitions Stephen2'!A39</f>
        <v>c72413t</v>
      </c>
      <c r="K39" t="str">
        <f>'variable definitions Stephen2'!B39</f>
        <v>Driving lessons</v>
      </c>
    </row>
    <row r="40" spans="1:11" x14ac:dyDescent="0.25">
      <c r="A40" t="s">
        <v>83</v>
      </c>
      <c r="B40" t="s">
        <v>82</v>
      </c>
      <c r="C40" t="s">
        <v>7</v>
      </c>
      <c r="E40" t="s">
        <v>8</v>
      </c>
      <c r="F40">
        <f>MATCH(A40,'variable definitions Stephen2'!A:A)</f>
        <v>42</v>
      </c>
      <c r="I40">
        <f t="shared" si="0"/>
        <v>38</v>
      </c>
      <c r="J40" t="str">
        <f>'variable definitions Stephen2'!A40</f>
        <v>c72414t</v>
      </c>
      <c r="K40" t="str">
        <f>'variable definitions Stephen2'!B40</f>
        <v>Hire of self-drive cars, vans, bicycles</v>
      </c>
    </row>
    <row r="41" spans="1:11" x14ac:dyDescent="0.25">
      <c r="A41" t="s">
        <v>84</v>
      </c>
      <c r="B41" t="s">
        <v>85</v>
      </c>
      <c r="C41" t="s">
        <v>7</v>
      </c>
      <c r="E41" t="s">
        <v>8</v>
      </c>
      <c r="F41">
        <f>MATCH(A41,'variable definitions Stephen2'!A:A)</f>
        <v>43</v>
      </c>
      <c r="I41">
        <f t="shared" si="0"/>
        <v>39</v>
      </c>
      <c r="J41" t="str">
        <f>'variable definitions Stephen2'!A41</f>
        <v>c73112t</v>
      </c>
      <c r="K41" t="str">
        <f>'variable definitions Stephen2'!B41</f>
        <v>Railway and tube fares other than season tickets</v>
      </c>
    </row>
    <row r="42" spans="1:11" x14ac:dyDescent="0.25">
      <c r="A42" t="s">
        <v>86</v>
      </c>
      <c r="B42" t="s">
        <v>87</v>
      </c>
      <c r="C42" t="s">
        <v>7</v>
      </c>
      <c r="E42" t="s">
        <v>8</v>
      </c>
      <c r="F42">
        <f>MATCH(A42,'variable definitions Stephen2'!A:A)</f>
        <v>44</v>
      </c>
      <c r="I42">
        <f t="shared" si="0"/>
        <v>40</v>
      </c>
      <c r="J42" t="str">
        <f>'variable definitions Stephen2'!A42</f>
        <v>c73212t</v>
      </c>
      <c r="K42" t="str">
        <f>'variable definitions Stephen2'!B42</f>
        <v>Bus and coach fares other than season tickets</v>
      </c>
    </row>
    <row r="43" spans="1:11" x14ac:dyDescent="0.25">
      <c r="A43" t="s">
        <v>88</v>
      </c>
      <c r="B43" t="s">
        <v>89</v>
      </c>
      <c r="C43" t="s">
        <v>7</v>
      </c>
      <c r="E43" t="s">
        <v>8</v>
      </c>
      <c r="F43">
        <f>MATCH(A43,'variable definitions Stephen2'!A:A)</f>
        <v>45</v>
      </c>
      <c r="I43">
        <f t="shared" si="0"/>
        <v>41</v>
      </c>
      <c r="J43" t="str">
        <f>'variable definitions Stephen2'!A43</f>
        <v>c73213t</v>
      </c>
      <c r="K43" t="str">
        <f>'variable definitions Stephen2'!B43</f>
        <v>Taxis and hired cars with drivers</v>
      </c>
    </row>
    <row r="44" spans="1:11" x14ac:dyDescent="0.25">
      <c r="A44" t="s">
        <v>90</v>
      </c>
      <c r="B44" t="s">
        <v>91</v>
      </c>
      <c r="C44" t="s">
        <v>7</v>
      </c>
      <c r="E44" t="s">
        <v>8</v>
      </c>
      <c r="F44">
        <f>MATCH(A44,'variable definitions Stephen2'!A:A)</f>
        <v>46</v>
      </c>
      <c r="I44">
        <f t="shared" si="0"/>
        <v>42</v>
      </c>
      <c r="J44" t="str">
        <f>'variable definitions Stephen2'!A44</f>
        <v>c73214t</v>
      </c>
      <c r="K44" t="str">
        <f>'variable definitions Stephen2'!B44</f>
        <v>Other personal travel</v>
      </c>
    </row>
    <row r="45" spans="1:11" x14ac:dyDescent="0.25">
      <c r="A45" t="s">
        <v>92</v>
      </c>
      <c r="B45" t="s">
        <v>93</v>
      </c>
      <c r="C45" t="s">
        <v>7</v>
      </c>
      <c r="E45" t="s">
        <v>8</v>
      </c>
      <c r="F45">
        <f>MATCH(A45,'variable definitions Stephen2'!A:A)</f>
        <v>47</v>
      </c>
      <c r="I45">
        <f t="shared" si="0"/>
        <v>43</v>
      </c>
      <c r="J45" t="str">
        <f>'variable definitions Stephen2'!A45</f>
        <v>c73411t</v>
      </c>
      <c r="K45" t="str">
        <f>'variable definitions Stephen2'!B45</f>
        <v>Water travel</v>
      </c>
    </row>
    <row r="46" spans="1:11" x14ac:dyDescent="0.25">
      <c r="A46" t="s">
        <v>94</v>
      </c>
      <c r="B46" t="s">
        <v>95</v>
      </c>
      <c r="C46" t="s">
        <v>7</v>
      </c>
      <c r="E46" t="s">
        <v>8</v>
      </c>
      <c r="F46">
        <f>MATCH(A46,'variable definitions Stephen2'!A:A)</f>
        <v>48</v>
      </c>
      <c r="I46">
        <f t="shared" si="0"/>
        <v>44</v>
      </c>
      <c r="J46" t="str">
        <f>'variable definitions Stephen2'!A46</f>
        <v>c73512t</v>
      </c>
      <c r="K46" t="str">
        <f>'variable definitions Stephen2'!B46</f>
        <v>Combined fares other than season tickets</v>
      </c>
    </row>
    <row r="47" spans="1:11" x14ac:dyDescent="0.25">
      <c r="I47">
        <f t="shared" si="0"/>
        <v>45</v>
      </c>
      <c r="J47" t="str">
        <f>'variable definitions Stephen2'!A47</f>
        <v>c73513t</v>
      </c>
      <c r="K47" t="str">
        <f>'variable definitions Stephen2'!B47</f>
        <v>School travel</v>
      </c>
    </row>
    <row r="48" spans="1:11" x14ac:dyDescent="0.25">
      <c r="I48">
        <f t="shared" si="0"/>
        <v>46</v>
      </c>
      <c r="J48" t="str">
        <f>'variable definitions Stephen2'!A48</f>
        <v>c73611t</v>
      </c>
      <c r="K48" t="str">
        <f>'variable definitions Stephen2'!B48</f>
        <v>Delivery charges and other transport services</v>
      </c>
    </row>
    <row r="49" spans="9:11" x14ac:dyDescent="0.25">
      <c r="I49" t="e">
        <f t="shared" si="0"/>
        <v>#N/A</v>
      </c>
      <c r="J49" t="str">
        <f>'variable definitions Stephen2'!A49</f>
        <v>b187</v>
      </c>
      <c r="K49" t="str">
        <f>'variable definitions Stephen2'!B49</f>
        <v>Vehicle road tax - amount paid last year</v>
      </c>
    </row>
    <row r="50" spans="9:11" x14ac:dyDescent="0.25">
      <c r="I50" t="e">
        <f t="shared" si="0"/>
        <v>#N/A</v>
      </c>
      <c r="J50" t="str">
        <f>'variable definitions Stephen2'!A50</f>
        <v>b179</v>
      </c>
      <c r="K50" t="str">
        <f>'variable definitions Stephen2'!B50</f>
        <v>Vehicle road tax - amount refunded last</v>
      </c>
    </row>
    <row r="51" spans="9:11" x14ac:dyDescent="0.25">
      <c r="I51" t="e">
        <f t="shared" si="0"/>
        <v>#N/A</v>
      </c>
      <c r="J51" t="str">
        <f>'variable definitions Stephen2'!A51</f>
        <v>ck3112t</v>
      </c>
      <c r="K51" t="str">
        <f>'variable definitions Stephen2'!B51</f>
        <v>Motoring Fines</v>
      </c>
    </row>
    <row r="52" spans="9:11" x14ac:dyDescent="0.25">
      <c r="I52" t="e">
        <f t="shared" si="0"/>
        <v>#N/A</v>
      </c>
      <c r="J52" t="str">
        <f>'variable definitions Stephen2'!A52</f>
        <v>b188</v>
      </c>
      <c r="K52" t="str">
        <f>'variable definitions Stephen2'!B52</f>
        <v>Vehicle insurance - amount paid last yea</v>
      </c>
    </row>
    <row r="53" spans="9:11" x14ac:dyDescent="0.25">
      <c r="I53" t="e">
        <f t="shared" si="0"/>
        <v>#N/A</v>
      </c>
      <c r="J53" t="str">
        <f>'variable definitions Stephen2'!A53</f>
        <v>c92114t</v>
      </c>
      <c r="K53" t="str">
        <f>'variable definitions Stephen2'!B53</f>
        <v>Purchase of motor caravan (new) - loan/HP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85F2-9703-4590-966E-4096963F5548}">
  <dimension ref="A1:J57"/>
  <sheetViews>
    <sheetView workbookViewId="0">
      <selection activeCell="I56" sqref="I56"/>
    </sheetView>
  </sheetViews>
  <sheetFormatPr defaultRowHeight="15" x14ac:dyDescent="0.25"/>
  <cols>
    <col min="2" max="2" width="53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 spans="1:10" x14ac:dyDescent="0.25">
      <c r="A2" t="s">
        <v>101</v>
      </c>
      <c r="B2" t="s">
        <v>95</v>
      </c>
      <c r="C2" t="s">
        <v>7</v>
      </c>
      <c r="D2" t="s">
        <v>102</v>
      </c>
      <c r="E2" t="s">
        <v>8</v>
      </c>
      <c r="F2" t="s">
        <v>103</v>
      </c>
      <c r="G2" t="s">
        <v>104</v>
      </c>
      <c r="H2" t="s">
        <v>105</v>
      </c>
      <c r="I2" t="s">
        <v>99</v>
      </c>
      <c r="J2" t="s">
        <v>106</v>
      </c>
    </row>
    <row r="4" spans="1:10" x14ac:dyDescent="0.25">
      <c r="A4" s="14" t="s">
        <v>107</v>
      </c>
      <c r="B4" s="14"/>
      <c r="C4" s="14"/>
      <c r="D4" s="14"/>
      <c r="E4" s="14"/>
      <c r="F4" s="14"/>
      <c r="G4" s="14"/>
      <c r="H4" s="14"/>
      <c r="I4" s="14"/>
    </row>
    <row r="5" spans="1:10" x14ac:dyDescent="0.25">
      <c r="A5" t="s">
        <v>108</v>
      </c>
      <c r="B5" t="s">
        <v>109</v>
      </c>
      <c r="C5" t="s">
        <v>7</v>
      </c>
      <c r="D5" t="s">
        <v>102</v>
      </c>
      <c r="E5" t="s">
        <v>8</v>
      </c>
      <c r="F5" t="s">
        <v>110</v>
      </c>
      <c r="G5" t="s">
        <v>104</v>
      </c>
      <c r="H5" t="s">
        <v>105</v>
      </c>
      <c r="I5" t="s">
        <v>111</v>
      </c>
    </row>
    <row r="6" spans="1:10" x14ac:dyDescent="0.25">
      <c r="A6" t="s">
        <v>112</v>
      </c>
      <c r="B6" t="s">
        <v>113</v>
      </c>
      <c r="C6" t="s">
        <v>7</v>
      </c>
      <c r="D6" t="s">
        <v>102</v>
      </c>
      <c r="E6" t="s">
        <v>8</v>
      </c>
      <c r="F6" t="s">
        <v>110</v>
      </c>
      <c r="G6" t="s">
        <v>104</v>
      </c>
      <c r="H6" t="s">
        <v>105</v>
      </c>
      <c r="I6" t="s">
        <v>111</v>
      </c>
    </row>
    <row r="8" spans="1:10" x14ac:dyDescent="0.25">
      <c r="A8" s="13" t="s">
        <v>114</v>
      </c>
      <c r="B8" s="13"/>
      <c r="C8" s="13"/>
      <c r="D8" s="13"/>
      <c r="E8" s="13"/>
      <c r="F8" s="13"/>
      <c r="G8" s="13"/>
      <c r="H8" s="13"/>
      <c r="I8" s="13"/>
    </row>
    <row r="9" spans="1:10" x14ac:dyDescent="0.25">
      <c r="A9" s="7" t="s">
        <v>115</v>
      </c>
      <c r="B9" s="7"/>
      <c r="C9" s="7"/>
      <c r="D9" s="7"/>
      <c r="E9" s="7"/>
      <c r="F9" s="7"/>
      <c r="G9" s="7"/>
      <c r="H9" s="7"/>
      <c r="I9" s="7"/>
    </row>
    <row r="10" spans="1:10" x14ac:dyDescent="0.25">
      <c r="A10" t="s">
        <v>5</v>
      </c>
      <c r="B10" t="s">
        <v>6</v>
      </c>
      <c r="C10" t="s">
        <v>7</v>
      </c>
      <c r="D10" t="s">
        <v>102</v>
      </c>
      <c r="E10" t="s">
        <v>8</v>
      </c>
      <c r="F10" t="s">
        <v>110</v>
      </c>
      <c r="G10" t="s">
        <v>104</v>
      </c>
      <c r="H10" t="s">
        <v>105</v>
      </c>
      <c r="I10" t="s">
        <v>99</v>
      </c>
    </row>
    <row r="11" spans="1:10" x14ac:dyDescent="0.25">
      <c r="A11" t="s">
        <v>9</v>
      </c>
      <c r="B11" t="s">
        <v>10</v>
      </c>
      <c r="C11" t="s">
        <v>7</v>
      </c>
      <c r="D11" t="s">
        <v>102</v>
      </c>
      <c r="E11" t="s">
        <v>8</v>
      </c>
      <c r="F11" t="s">
        <v>110</v>
      </c>
      <c r="G11" t="s">
        <v>104</v>
      </c>
      <c r="H11" t="s">
        <v>105</v>
      </c>
      <c r="I11" t="s">
        <v>99</v>
      </c>
    </row>
    <row r="12" spans="1:10" x14ac:dyDescent="0.25">
      <c r="A12" t="s">
        <v>11</v>
      </c>
      <c r="B12" t="s">
        <v>12</v>
      </c>
      <c r="C12" t="s">
        <v>7</v>
      </c>
      <c r="D12" t="s">
        <v>102</v>
      </c>
      <c r="E12" t="s">
        <v>8</v>
      </c>
      <c r="F12" t="s">
        <v>110</v>
      </c>
      <c r="G12" t="s">
        <v>104</v>
      </c>
      <c r="H12" t="s">
        <v>105</v>
      </c>
      <c r="I12" t="s">
        <v>99</v>
      </c>
    </row>
    <row r="13" spans="1:10" x14ac:dyDescent="0.25">
      <c r="A13" t="s">
        <v>116</v>
      </c>
      <c r="B13" t="s">
        <v>89</v>
      </c>
      <c r="C13" t="s">
        <v>7</v>
      </c>
      <c r="D13" t="s">
        <v>102</v>
      </c>
      <c r="E13" t="s">
        <v>8</v>
      </c>
      <c r="F13" t="s">
        <v>110</v>
      </c>
      <c r="G13" t="s">
        <v>104</v>
      </c>
      <c r="H13" t="s">
        <v>105</v>
      </c>
      <c r="I13" t="s">
        <v>99</v>
      </c>
    </row>
    <row r="14" spans="1:10" x14ac:dyDescent="0.25">
      <c r="A14" t="s">
        <v>117</v>
      </c>
      <c r="B14" t="s">
        <v>91</v>
      </c>
      <c r="C14" t="s">
        <v>7</v>
      </c>
      <c r="D14" t="s">
        <v>102</v>
      </c>
      <c r="E14" t="s">
        <v>8</v>
      </c>
      <c r="F14" t="s">
        <v>110</v>
      </c>
      <c r="G14" t="s">
        <v>104</v>
      </c>
      <c r="H14" t="s">
        <v>105</v>
      </c>
      <c r="I14" t="s">
        <v>99</v>
      </c>
    </row>
    <row r="15" spans="1:10" x14ac:dyDescent="0.25">
      <c r="A15" t="s">
        <v>118</v>
      </c>
      <c r="B15" t="s">
        <v>119</v>
      </c>
      <c r="C15" t="s">
        <v>7</v>
      </c>
      <c r="D15" t="s">
        <v>102</v>
      </c>
      <c r="E15" t="s">
        <v>8</v>
      </c>
      <c r="F15" t="s">
        <v>110</v>
      </c>
      <c r="G15" t="s">
        <v>104</v>
      </c>
      <c r="H15" t="s">
        <v>105</v>
      </c>
      <c r="I15" t="s">
        <v>99</v>
      </c>
    </row>
    <row r="16" spans="1:10" x14ac:dyDescent="0.25">
      <c r="A16" t="s">
        <v>120</v>
      </c>
      <c r="B16" t="s">
        <v>82</v>
      </c>
      <c r="C16" t="s">
        <v>7</v>
      </c>
      <c r="D16" t="s">
        <v>102</v>
      </c>
      <c r="E16" t="s">
        <v>8</v>
      </c>
      <c r="F16" t="s">
        <v>110</v>
      </c>
      <c r="G16" t="s">
        <v>104</v>
      </c>
      <c r="H16" t="s">
        <v>105</v>
      </c>
      <c r="I16" t="s">
        <v>99</v>
      </c>
    </row>
    <row r="17" spans="1:9" x14ac:dyDescent="0.25">
      <c r="A17" t="s">
        <v>13</v>
      </c>
      <c r="B17" t="s">
        <v>14</v>
      </c>
      <c r="C17" t="s">
        <v>7</v>
      </c>
      <c r="D17" t="s">
        <v>102</v>
      </c>
      <c r="E17" t="s">
        <v>8</v>
      </c>
      <c r="F17" t="s">
        <v>110</v>
      </c>
      <c r="G17" t="s">
        <v>104</v>
      </c>
      <c r="H17" t="s">
        <v>105</v>
      </c>
      <c r="I17" t="s">
        <v>99</v>
      </c>
    </row>
    <row r="18" spans="1:9" x14ac:dyDescent="0.25">
      <c r="A18" s="9" t="s">
        <v>121</v>
      </c>
      <c r="B18" s="8"/>
      <c r="C18" s="8"/>
      <c r="D18" s="8"/>
      <c r="E18" s="8"/>
      <c r="F18" s="8"/>
      <c r="G18" s="8"/>
      <c r="H18" s="8"/>
      <c r="I18" s="8"/>
    </row>
    <row r="19" spans="1:9" x14ac:dyDescent="0.25">
      <c r="A19" t="s">
        <v>122</v>
      </c>
      <c r="B19" t="s">
        <v>46</v>
      </c>
      <c r="C19" t="s">
        <v>7</v>
      </c>
      <c r="D19" t="s">
        <v>102</v>
      </c>
      <c r="E19" t="s">
        <v>8</v>
      </c>
      <c r="F19" t="s">
        <v>103</v>
      </c>
      <c r="G19" t="s">
        <v>97</v>
      </c>
      <c r="H19" t="s">
        <v>105</v>
      </c>
      <c r="I19" t="s">
        <v>99</v>
      </c>
    </row>
    <row r="20" spans="1:9" x14ac:dyDescent="0.25">
      <c r="A20" t="s">
        <v>123</v>
      </c>
      <c r="B20" t="s">
        <v>58</v>
      </c>
      <c r="C20" t="s">
        <v>7</v>
      </c>
      <c r="D20" t="s">
        <v>102</v>
      </c>
      <c r="E20" t="s">
        <v>8</v>
      </c>
      <c r="F20" t="s">
        <v>103</v>
      </c>
      <c r="G20" t="s">
        <v>97</v>
      </c>
      <c r="H20" t="s">
        <v>105</v>
      </c>
      <c r="I20" t="s">
        <v>99</v>
      </c>
    </row>
    <row r="21" spans="1:9" x14ac:dyDescent="0.25">
      <c r="A21" s="9" t="s">
        <v>124</v>
      </c>
      <c r="B21" s="8"/>
      <c r="C21" s="8"/>
      <c r="D21" s="8"/>
      <c r="E21" s="8"/>
      <c r="F21" s="8"/>
      <c r="G21" s="8"/>
      <c r="H21" s="8"/>
      <c r="I21" s="8"/>
    </row>
    <row r="22" spans="1:9" x14ac:dyDescent="0.25">
      <c r="A22" t="s">
        <v>125</v>
      </c>
      <c r="B22" t="s">
        <v>93</v>
      </c>
      <c r="C22" t="s">
        <v>7</v>
      </c>
      <c r="D22" t="s">
        <v>102</v>
      </c>
      <c r="E22" t="s">
        <v>8</v>
      </c>
      <c r="F22" t="s">
        <v>110</v>
      </c>
      <c r="G22" t="s">
        <v>104</v>
      </c>
      <c r="H22" t="s">
        <v>105</v>
      </c>
      <c r="I22" t="s">
        <v>99</v>
      </c>
    </row>
    <row r="23" spans="1:9" x14ac:dyDescent="0.25">
      <c r="A23" t="s">
        <v>126</v>
      </c>
      <c r="B23" t="s">
        <v>87</v>
      </c>
      <c r="C23" t="s">
        <v>7</v>
      </c>
      <c r="D23" t="s">
        <v>102</v>
      </c>
      <c r="E23" t="s">
        <v>8</v>
      </c>
      <c r="F23" t="s">
        <v>103</v>
      </c>
      <c r="G23" t="s">
        <v>127</v>
      </c>
      <c r="H23" t="s">
        <v>105</v>
      </c>
      <c r="I23" t="s">
        <v>99</v>
      </c>
    </row>
    <row r="24" spans="1:9" x14ac:dyDescent="0.25">
      <c r="A24" t="s">
        <v>128</v>
      </c>
      <c r="B24" t="s">
        <v>48</v>
      </c>
      <c r="C24" t="s">
        <v>7</v>
      </c>
      <c r="D24" t="s">
        <v>102</v>
      </c>
      <c r="E24" t="s">
        <v>8</v>
      </c>
      <c r="F24" t="s">
        <v>103</v>
      </c>
      <c r="G24" t="s">
        <v>127</v>
      </c>
      <c r="H24" t="s">
        <v>105</v>
      </c>
      <c r="I24" t="s">
        <v>99</v>
      </c>
    </row>
    <row r="25" spans="1:9" x14ac:dyDescent="0.25">
      <c r="A25" t="s">
        <v>129</v>
      </c>
      <c r="B25" t="s">
        <v>80</v>
      </c>
      <c r="C25" t="s">
        <v>7</v>
      </c>
      <c r="D25" t="s">
        <v>102</v>
      </c>
      <c r="E25" t="s">
        <v>8</v>
      </c>
      <c r="F25" t="s">
        <v>103</v>
      </c>
      <c r="G25" t="s">
        <v>104</v>
      </c>
      <c r="H25" t="s">
        <v>105</v>
      </c>
      <c r="I25" t="s">
        <v>99</v>
      </c>
    </row>
    <row r="27" spans="1:9" x14ac:dyDescent="0.25">
      <c r="A27" s="10" t="s">
        <v>130</v>
      </c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t="s">
        <v>131</v>
      </c>
      <c r="B28" t="s">
        <v>85</v>
      </c>
      <c r="C28" t="s">
        <v>7</v>
      </c>
      <c r="D28" t="s">
        <v>102</v>
      </c>
      <c r="E28" t="s">
        <v>8</v>
      </c>
      <c r="F28" s="5" t="s">
        <v>103</v>
      </c>
      <c r="G28" t="s">
        <v>104</v>
      </c>
      <c r="H28" t="s">
        <v>98</v>
      </c>
      <c r="I28" t="s">
        <v>99</v>
      </c>
    </row>
    <row r="30" spans="1:9" x14ac:dyDescent="0.25">
      <c r="A30" s="12" t="s">
        <v>132</v>
      </c>
      <c r="B30" s="12"/>
      <c r="C30" s="12"/>
      <c r="D30" s="12"/>
      <c r="E30" s="12"/>
      <c r="F30" s="12"/>
      <c r="G30" s="12"/>
      <c r="H30" s="12"/>
      <c r="I30" s="12"/>
    </row>
    <row r="31" spans="1:9" x14ac:dyDescent="0.25">
      <c r="A31" s="3" t="s">
        <v>133</v>
      </c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t="s">
        <v>15</v>
      </c>
      <c r="B32" t="s">
        <v>16</v>
      </c>
      <c r="C32" t="s">
        <v>7</v>
      </c>
      <c r="D32" t="s">
        <v>102</v>
      </c>
      <c r="E32" t="s">
        <v>8</v>
      </c>
      <c r="F32" t="s">
        <v>103</v>
      </c>
      <c r="G32" t="s">
        <v>104</v>
      </c>
      <c r="H32" t="s">
        <v>105</v>
      </c>
      <c r="I32" t="s">
        <v>99</v>
      </c>
    </row>
    <row r="33" spans="1:10" x14ac:dyDescent="0.25">
      <c r="A33" t="s">
        <v>17</v>
      </c>
      <c r="B33" t="s">
        <v>18</v>
      </c>
      <c r="C33" t="s">
        <v>7</v>
      </c>
      <c r="D33" t="s">
        <v>102</v>
      </c>
      <c r="E33" t="s">
        <v>8</v>
      </c>
      <c r="F33" t="s">
        <v>103</v>
      </c>
      <c r="G33" t="s">
        <v>104</v>
      </c>
      <c r="H33" t="s">
        <v>105</v>
      </c>
      <c r="I33" t="s">
        <v>99</v>
      </c>
    </row>
    <row r="34" spans="1:10" x14ac:dyDescent="0.25">
      <c r="A34" t="s">
        <v>19</v>
      </c>
      <c r="B34" t="s">
        <v>20</v>
      </c>
      <c r="C34" t="s">
        <v>7</v>
      </c>
      <c r="D34" t="s">
        <v>102</v>
      </c>
      <c r="E34" t="s">
        <v>8</v>
      </c>
      <c r="F34" t="s">
        <v>103</v>
      </c>
      <c r="G34" t="s">
        <v>104</v>
      </c>
      <c r="H34" t="s">
        <v>105</v>
      </c>
      <c r="I34" t="s">
        <v>99</v>
      </c>
    </row>
    <row r="35" spans="1:10" x14ac:dyDescent="0.25">
      <c r="A35" t="s">
        <v>134</v>
      </c>
      <c r="B35" t="s">
        <v>36</v>
      </c>
      <c r="C35" t="s">
        <v>7</v>
      </c>
      <c r="D35" t="s">
        <v>102</v>
      </c>
      <c r="E35" t="s">
        <v>8</v>
      </c>
      <c r="F35" t="s">
        <v>103</v>
      </c>
      <c r="G35" t="s">
        <v>104</v>
      </c>
      <c r="H35" t="s">
        <v>105</v>
      </c>
      <c r="I35" t="s">
        <v>99</v>
      </c>
    </row>
    <row r="36" spans="1:10" x14ac:dyDescent="0.25">
      <c r="A36" t="s">
        <v>135</v>
      </c>
      <c r="B36" t="s">
        <v>40</v>
      </c>
      <c r="C36" t="s">
        <v>7</v>
      </c>
      <c r="D36" t="s">
        <v>102</v>
      </c>
      <c r="E36" t="s">
        <v>8</v>
      </c>
      <c r="F36" t="s">
        <v>103</v>
      </c>
      <c r="G36" t="s">
        <v>104</v>
      </c>
      <c r="H36" t="s">
        <v>105</v>
      </c>
      <c r="I36" t="s">
        <v>99</v>
      </c>
    </row>
    <row r="37" spans="1:10" x14ac:dyDescent="0.25">
      <c r="A37" t="s">
        <v>136</v>
      </c>
      <c r="B37" t="s">
        <v>44</v>
      </c>
      <c r="C37" t="s">
        <v>7</v>
      </c>
      <c r="D37" t="s">
        <v>102</v>
      </c>
      <c r="E37" t="s">
        <v>8</v>
      </c>
      <c r="F37" t="s">
        <v>103</v>
      </c>
      <c r="G37" t="s">
        <v>104</v>
      </c>
      <c r="H37" t="s">
        <v>105</v>
      </c>
      <c r="I37" t="s">
        <v>99</v>
      </c>
    </row>
    <row r="38" spans="1:10" x14ac:dyDescent="0.25">
      <c r="B38" s="2" t="s">
        <v>137</v>
      </c>
      <c r="J38" t="s">
        <v>168</v>
      </c>
    </row>
    <row r="39" spans="1:10" x14ac:dyDescent="0.25">
      <c r="A39" t="s">
        <v>21</v>
      </c>
      <c r="B39" t="s">
        <v>22</v>
      </c>
      <c r="C39" t="s">
        <v>7</v>
      </c>
      <c r="D39" t="s">
        <v>102</v>
      </c>
      <c r="E39" t="s">
        <v>8</v>
      </c>
      <c r="F39" t="s">
        <v>103</v>
      </c>
      <c r="G39" t="s">
        <v>104</v>
      </c>
      <c r="H39" t="s">
        <v>105</v>
      </c>
      <c r="I39" t="s">
        <v>99</v>
      </c>
    </row>
    <row r="40" spans="1:10" x14ac:dyDescent="0.25">
      <c r="A40" s="3" t="s">
        <v>138</v>
      </c>
      <c r="B40" s="4"/>
      <c r="C40" s="4"/>
      <c r="D40" s="4"/>
      <c r="E40" s="4"/>
      <c r="F40" s="4"/>
      <c r="G40" s="4"/>
      <c r="H40" s="4"/>
      <c r="I40" s="4"/>
    </row>
    <row r="41" spans="1:10" x14ac:dyDescent="0.25">
      <c r="A41" t="s">
        <v>139</v>
      </c>
      <c r="B41" t="s">
        <v>50</v>
      </c>
      <c r="C41" t="s">
        <v>7</v>
      </c>
      <c r="D41" t="s">
        <v>102</v>
      </c>
      <c r="E41" t="s">
        <v>8</v>
      </c>
      <c r="F41" t="s">
        <v>103</v>
      </c>
      <c r="G41" t="s">
        <v>104</v>
      </c>
      <c r="H41" t="s">
        <v>105</v>
      </c>
      <c r="I41" t="s">
        <v>99</v>
      </c>
    </row>
    <row r="42" spans="1:10" x14ac:dyDescent="0.25">
      <c r="A42" t="s">
        <v>140</v>
      </c>
      <c r="B42" t="s">
        <v>52</v>
      </c>
      <c r="C42" t="s">
        <v>7</v>
      </c>
      <c r="D42" t="s">
        <v>102</v>
      </c>
      <c r="E42" t="s">
        <v>8</v>
      </c>
      <c r="F42" t="s">
        <v>103</v>
      </c>
      <c r="G42" t="s">
        <v>104</v>
      </c>
      <c r="H42" t="s">
        <v>105</v>
      </c>
      <c r="I42" t="s">
        <v>99</v>
      </c>
    </row>
    <row r="43" spans="1:10" x14ac:dyDescent="0.25">
      <c r="A43" t="s">
        <v>141</v>
      </c>
      <c r="B43" t="s">
        <v>54</v>
      </c>
      <c r="C43" t="s">
        <v>7</v>
      </c>
      <c r="D43" t="s">
        <v>102</v>
      </c>
      <c r="E43" t="s">
        <v>8</v>
      </c>
      <c r="F43" t="s">
        <v>103</v>
      </c>
      <c r="G43" t="s">
        <v>104</v>
      </c>
      <c r="H43" t="s">
        <v>105</v>
      </c>
      <c r="I43" t="s">
        <v>99</v>
      </c>
    </row>
    <row r="44" spans="1:10" x14ac:dyDescent="0.25">
      <c r="A44" t="s">
        <v>142</v>
      </c>
      <c r="B44" t="s">
        <v>60</v>
      </c>
      <c r="C44" t="s">
        <v>7</v>
      </c>
      <c r="D44" t="s">
        <v>102</v>
      </c>
      <c r="E44" t="s">
        <v>8</v>
      </c>
      <c r="F44" t="s">
        <v>103</v>
      </c>
      <c r="G44" t="s">
        <v>104</v>
      </c>
      <c r="H44" t="s">
        <v>105</v>
      </c>
      <c r="I44" t="s">
        <v>99</v>
      </c>
    </row>
    <row r="45" spans="1:10" x14ac:dyDescent="0.25">
      <c r="A45" t="s">
        <v>143</v>
      </c>
      <c r="B45" t="s">
        <v>62</v>
      </c>
      <c r="C45" t="s">
        <v>7</v>
      </c>
      <c r="D45" t="s">
        <v>102</v>
      </c>
      <c r="E45" t="s">
        <v>8</v>
      </c>
      <c r="F45" t="s">
        <v>103</v>
      </c>
      <c r="G45" t="s">
        <v>104</v>
      </c>
      <c r="H45" t="s">
        <v>105</v>
      </c>
      <c r="I45" t="s">
        <v>99</v>
      </c>
    </row>
    <row r="46" spans="1:10" x14ac:dyDescent="0.25">
      <c r="A46" t="s">
        <v>144</v>
      </c>
      <c r="B46" t="s">
        <v>64</v>
      </c>
      <c r="C46" t="s">
        <v>7</v>
      </c>
      <c r="D46" t="s">
        <v>102</v>
      </c>
      <c r="E46" t="s">
        <v>8</v>
      </c>
      <c r="F46" t="s">
        <v>103</v>
      </c>
      <c r="G46" t="s">
        <v>104</v>
      </c>
      <c r="H46" t="s">
        <v>105</v>
      </c>
      <c r="I46" t="s">
        <v>99</v>
      </c>
    </row>
    <row r="47" spans="1:10" x14ac:dyDescent="0.25">
      <c r="A47" t="s">
        <v>23</v>
      </c>
      <c r="B47" t="s">
        <v>24</v>
      </c>
      <c r="C47" t="s">
        <v>7</v>
      </c>
      <c r="D47" t="s">
        <v>102</v>
      </c>
      <c r="E47" t="s">
        <v>8</v>
      </c>
      <c r="F47" t="s">
        <v>103</v>
      </c>
      <c r="G47" t="s">
        <v>104</v>
      </c>
      <c r="H47" t="s">
        <v>105</v>
      </c>
      <c r="I47" t="s">
        <v>99</v>
      </c>
    </row>
    <row r="48" spans="1:10" x14ac:dyDescent="0.25">
      <c r="A48" t="s">
        <v>25</v>
      </c>
      <c r="B48" t="s">
        <v>26</v>
      </c>
      <c r="C48" t="s">
        <v>7</v>
      </c>
      <c r="D48" t="s">
        <v>102</v>
      </c>
      <c r="E48" t="s">
        <v>8</v>
      </c>
      <c r="F48" t="s">
        <v>103</v>
      </c>
      <c r="G48" t="s">
        <v>104</v>
      </c>
      <c r="H48" t="s">
        <v>105</v>
      </c>
      <c r="I48" t="s">
        <v>99</v>
      </c>
    </row>
    <row r="49" spans="1:9" x14ac:dyDescent="0.25">
      <c r="A49" t="s">
        <v>27</v>
      </c>
      <c r="B49" t="s">
        <v>28</v>
      </c>
      <c r="C49" t="s">
        <v>7</v>
      </c>
      <c r="D49" t="s">
        <v>102</v>
      </c>
      <c r="E49" t="s">
        <v>8</v>
      </c>
      <c r="F49" t="s">
        <v>103</v>
      </c>
      <c r="G49" t="s">
        <v>104</v>
      </c>
      <c r="H49" t="s">
        <v>105</v>
      </c>
      <c r="I49" t="s">
        <v>99</v>
      </c>
    </row>
    <row r="50" spans="1:9" x14ac:dyDescent="0.25">
      <c r="A50" t="s">
        <v>145</v>
      </c>
      <c r="B50" t="s">
        <v>70</v>
      </c>
      <c r="C50" t="s">
        <v>7</v>
      </c>
      <c r="D50" t="s">
        <v>102</v>
      </c>
      <c r="E50" t="s">
        <v>8</v>
      </c>
      <c r="F50" t="s">
        <v>103</v>
      </c>
      <c r="G50" t="s">
        <v>104</v>
      </c>
      <c r="H50" t="s">
        <v>105</v>
      </c>
      <c r="I50" t="s">
        <v>99</v>
      </c>
    </row>
    <row r="51" spans="1:9" x14ac:dyDescent="0.25">
      <c r="A51" t="s">
        <v>146</v>
      </c>
      <c r="B51" t="s">
        <v>76</v>
      </c>
      <c r="C51" t="s">
        <v>7</v>
      </c>
      <c r="D51" t="s">
        <v>102</v>
      </c>
      <c r="E51" t="s">
        <v>8</v>
      </c>
      <c r="F51" t="s">
        <v>103</v>
      </c>
      <c r="G51" t="s">
        <v>104</v>
      </c>
      <c r="H51" t="s">
        <v>105</v>
      </c>
      <c r="I51" t="s">
        <v>99</v>
      </c>
    </row>
    <row r="52" spans="1:9" x14ac:dyDescent="0.25">
      <c r="A52" t="s">
        <v>147</v>
      </c>
      <c r="B52" t="s">
        <v>74</v>
      </c>
      <c r="C52" t="s">
        <v>7</v>
      </c>
      <c r="D52" t="s">
        <v>102</v>
      </c>
      <c r="E52" t="s">
        <v>8</v>
      </c>
      <c r="F52" t="s">
        <v>103</v>
      </c>
      <c r="G52" t="s">
        <v>104</v>
      </c>
      <c r="H52" t="s">
        <v>105</v>
      </c>
      <c r="I52" t="s">
        <v>99</v>
      </c>
    </row>
    <row r="53" spans="1:9" x14ac:dyDescent="0.25">
      <c r="A53" t="s">
        <v>148</v>
      </c>
      <c r="B53" t="s">
        <v>78</v>
      </c>
      <c r="C53" t="s">
        <v>7</v>
      </c>
      <c r="D53" t="s">
        <v>102</v>
      </c>
      <c r="E53" t="s">
        <v>8</v>
      </c>
      <c r="F53" t="s">
        <v>103</v>
      </c>
      <c r="G53" t="s">
        <v>104</v>
      </c>
      <c r="H53" t="s">
        <v>105</v>
      </c>
      <c r="I53" t="s">
        <v>99</v>
      </c>
    </row>
    <row r="54" spans="1:9" x14ac:dyDescent="0.25">
      <c r="A54" t="s">
        <v>149</v>
      </c>
      <c r="B54" t="s">
        <v>72</v>
      </c>
      <c r="C54" t="s">
        <v>7</v>
      </c>
      <c r="D54" t="s">
        <v>102</v>
      </c>
      <c r="E54" t="s">
        <v>8</v>
      </c>
      <c r="F54" t="s">
        <v>103</v>
      </c>
      <c r="G54" t="s">
        <v>104</v>
      </c>
      <c r="H54" t="s">
        <v>105</v>
      </c>
      <c r="I54" t="s">
        <v>99</v>
      </c>
    </row>
    <row r="55" spans="1:9" x14ac:dyDescent="0.25">
      <c r="A55" t="s">
        <v>150</v>
      </c>
      <c r="B55" t="s">
        <v>56</v>
      </c>
      <c r="C55" t="s">
        <v>7</v>
      </c>
      <c r="D55" t="s">
        <v>102</v>
      </c>
      <c r="E55" t="s">
        <v>8</v>
      </c>
      <c r="F55" t="s">
        <v>103</v>
      </c>
      <c r="G55" t="s">
        <v>104</v>
      </c>
      <c r="H55" t="s">
        <v>105</v>
      </c>
      <c r="I55" t="s">
        <v>99</v>
      </c>
    </row>
    <row r="56" spans="1:9" x14ac:dyDescent="0.25">
      <c r="B56" s="2" t="s">
        <v>151</v>
      </c>
    </row>
    <row r="57" spans="1:9" x14ac:dyDescent="0.25">
      <c r="B57" s="2" t="s">
        <v>152</v>
      </c>
    </row>
  </sheetData>
  <mergeCells count="3">
    <mergeCell ref="A30:I30"/>
    <mergeCell ref="A8:I8"/>
    <mergeCell ref="A4:I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FDBA-48C7-48EF-9F3C-AC3EF87CD1F6}">
  <dimension ref="A2:H45"/>
  <sheetViews>
    <sheetView topLeftCell="A22" workbookViewId="0">
      <selection activeCell="F14" sqref="F14"/>
    </sheetView>
  </sheetViews>
  <sheetFormatPr defaultRowHeight="15" x14ac:dyDescent="0.25"/>
  <cols>
    <col min="2" max="2" width="53.5703125" bestFit="1" customWidth="1"/>
  </cols>
  <sheetData>
    <row r="2" spans="1:7" x14ac:dyDescent="0.25">
      <c r="A2" s="1" t="s">
        <v>186</v>
      </c>
      <c r="B2" t="s">
        <v>187</v>
      </c>
      <c r="F2" t="s">
        <v>212</v>
      </c>
      <c r="G2" s="1" t="s">
        <v>211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7" x14ac:dyDescent="0.25">
      <c r="A4" t="s">
        <v>179</v>
      </c>
      <c r="B4" t="s">
        <v>180</v>
      </c>
      <c r="C4" t="s">
        <v>7</v>
      </c>
      <c r="E4" t="s">
        <v>8</v>
      </c>
      <c r="F4" t="e">
        <f>MATCH(A4,'variable definitions Stephen'!A:A,0)</f>
        <v>#N/A</v>
      </c>
      <c r="G4" t="e">
        <f>MATCH(A4&amp;"t",'variable definitions Stephen'!A:A,0)</f>
        <v>#N/A</v>
      </c>
    </row>
    <row r="5" spans="1:7" x14ac:dyDescent="0.25">
      <c r="A5" t="s">
        <v>134</v>
      </c>
      <c r="B5" t="s">
        <v>36</v>
      </c>
      <c r="C5" t="s">
        <v>7</v>
      </c>
      <c r="E5" t="s">
        <v>8</v>
      </c>
      <c r="F5" t="e">
        <f>MATCH(A5,'variable definitions Stephen'!A:A,0)</f>
        <v>#N/A</v>
      </c>
      <c r="G5">
        <f>MATCH(A5&amp;"t",'variable definitions Stephen'!A:A,0)</f>
        <v>18</v>
      </c>
    </row>
    <row r="6" spans="1:7" x14ac:dyDescent="0.25">
      <c r="A6" t="s">
        <v>135</v>
      </c>
      <c r="B6" t="s">
        <v>40</v>
      </c>
      <c r="C6" t="s">
        <v>7</v>
      </c>
      <c r="E6" t="s">
        <v>8</v>
      </c>
      <c r="F6" t="e">
        <f>MATCH(A6,'variable definitions Stephen'!A:A,0)</f>
        <v>#N/A</v>
      </c>
      <c r="G6">
        <f>MATCH(A6&amp;"t",'variable definitions Stephen'!A:A,0)</f>
        <v>20</v>
      </c>
    </row>
    <row r="7" spans="1:7" x14ac:dyDescent="0.25">
      <c r="A7" t="s">
        <v>136</v>
      </c>
      <c r="B7" t="s">
        <v>44</v>
      </c>
      <c r="C7" t="s">
        <v>7</v>
      </c>
      <c r="E7" t="s">
        <v>8</v>
      </c>
      <c r="F7" t="e">
        <f>MATCH(A7,'variable definitions Stephen'!A:A,0)</f>
        <v>#N/A</v>
      </c>
      <c r="G7">
        <f>MATCH(A7&amp;"t",'variable definitions Stephen'!A:A,0)</f>
        <v>22</v>
      </c>
    </row>
    <row r="8" spans="1:7" x14ac:dyDescent="0.25">
      <c r="A8" t="s">
        <v>139</v>
      </c>
      <c r="B8" t="s">
        <v>50</v>
      </c>
      <c r="C8" t="s">
        <v>7</v>
      </c>
      <c r="E8" t="s">
        <v>8</v>
      </c>
      <c r="F8" t="e">
        <f>MATCH(A8,'variable definitions Stephen'!A:A,0)</f>
        <v>#N/A</v>
      </c>
      <c r="G8">
        <f>MATCH(A8&amp;"t",'variable definitions Stephen'!A:A,0)</f>
        <v>25</v>
      </c>
    </row>
    <row r="9" spans="1:7" x14ac:dyDescent="0.25">
      <c r="A9" t="s">
        <v>140</v>
      </c>
      <c r="B9" t="s">
        <v>52</v>
      </c>
      <c r="C9" t="s">
        <v>7</v>
      </c>
      <c r="E9" t="s">
        <v>8</v>
      </c>
      <c r="F9" t="e">
        <f>MATCH(A9,'variable definitions Stephen'!A:A,0)</f>
        <v>#N/A</v>
      </c>
      <c r="G9">
        <f>MATCH(A9&amp;"t",'variable definitions Stephen'!A:A,0)</f>
        <v>26</v>
      </c>
    </row>
    <row r="10" spans="1:7" x14ac:dyDescent="0.25">
      <c r="A10" t="s">
        <v>141</v>
      </c>
      <c r="B10" t="s">
        <v>54</v>
      </c>
      <c r="C10" t="s">
        <v>7</v>
      </c>
      <c r="E10" t="s">
        <v>8</v>
      </c>
      <c r="F10" t="e">
        <f>MATCH(A10,'variable definitions Stephen'!A:A,0)</f>
        <v>#N/A</v>
      </c>
      <c r="G10">
        <f>MATCH(A10&amp;"t",'variable definitions Stephen'!A:A,0)</f>
        <v>27</v>
      </c>
    </row>
    <row r="11" spans="1:7" x14ac:dyDescent="0.25">
      <c r="A11" t="s">
        <v>150</v>
      </c>
      <c r="B11" t="s">
        <v>56</v>
      </c>
      <c r="C11" t="s">
        <v>7</v>
      </c>
      <c r="E11" t="s">
        <v>8</v>
      </c>
      <c r="F11" t="e">
        <f>MATCH(A11,'variable definitions Stephen'!A:A,0)</f>
        <v>#N/A</v>
      </c>
      <c r="G11">
        <f>MATCH(A11&amp;"t",'variable definitions Stephen'!A:A,0)</f>
        <v>28</v>
      </c>
    </row>
    <row r="12" spans="1:7" x14ac:dyDescent="0.25">
      <c r="A12" t="s">
        <v>142</v>
      </c>
      <c r="B12" t="s">
        <v>60</v>
      </c>
      <c r="C12" t="s">
        <v>7</v>
      </c>
      <c r="E12" t="s">
        <v>8</v>
      </c>
      <c r="F12" t="e">
        <f>MATCH(A12,'variable definitions Stephen'!A:A,0)</f>
        <v>#N/A</v>
      </c>
      <c r="G12">
        <f>MATCH(A12&amp;"t",'variable definitions Stephen'!A:A,0)</f>
        <v>30</v>
      </c>
    </row>
    <row r="13" spans="1:7" x14ac:dyDescent="0.25">
      <c r="A13" t="s">
        <v>143</v>
      </c>
      <c r="B13" t="s">
        <v>62</v>
      </c>
      <c r="C13" t="s">
        <v>7</v>
      </c>
      <c r="E13" t="s">
        <v>8</v>
      </c>
      <c r="F13" t="e">
        <f>MATCH(A13,'variable definitions Stephen'!A:A,0)</f>
        <v>#N/A</v>
      </c>
      <c r="G13">
        <f>MATCH(A13&amp;"t",'variable definitions Stephen'!A:A,0)</f>
        <v>31</v>
      </c>
    </row>
    <row r="14" spans="1:7" x14ac:dyDescent="0.25">
      <c r="A14" t="s">
        <v>144</v>
      </c>
      <c r="B14" t="s">
        <v>64</v>
      </c>
      <c r="C14" t="s">
        <v>7</v>
      </c>
      <c r="E14" t="s">
        <v>8</v>
      </c>
      <c r="F14" t="e">
        <f>MATCH(A14,'variable definitions Stephen'!A:A,0)</f>
        <v>#N/A</v>
      </c>
      <c r="G14">
        <f>MATCH(A14&amp;"t",'variable definitions Stephen'!A:A,0)</f>
        <v>32</v>
      </c>
    </row>
    <row r="15" spans="1:7" x14ac:dyDescent="0.25">
      <c r="A15" t="s">
        <v>145</v>
      </c>
      <c r="B15" t="s">
        <v>70</v>
      </c>
      <c r="C15" t="s">
        <v>7</v>
      </c>
      <c r="E15" t="s">
        <v>8</v>
      </c>
      <c r="F15" t="e">
        <f>MATCH(A15,'variable definitions Stephen'!A:A,0)</f>
        <v>#N/A</v>
      </c>
      <c r="G15">
        <f>MATCH(A15&amp;"t",'variable definitions Stephen'!A:A,0)</f>
        <v>35</v>
      </c>
    </row>
    <row r="16" spans="1:7" x14ac:dyDescent="0.25">
      <c r="A16" t="s">
        <v>149</v>
      </c>
      <c r="B16" t="s">
        <v>72</v>
      </c>
      <c r="C16" t="s">
        <v>7</v>
      </c>
      <c r="E16" t="s">
        <v>8</v>
      </c>
      <c r="F16" t="e">
        <f>MATCH(A16,'variable definitions Stephen'!A:A,0)</f>
        <v>#N/A</v>
      </c>
      <c r="G16">
        <f>MATCH(A16&amp;"t",'variable definitions Stephen'!A:A,0)</f>
        <v>36</v>
      </c>
    </row>
    <row r="17" spans="1:8" x14ac:dyDescent="0.25">
      <c r="A17" t="s">
        <v>147</v>
      </c>
      <c r="B17" t="s">
        <v>74</v>
      </c>
      <c r="C17" t="s">
        <v>7</v>
      </c>
      <c r="E17" t="s">
        <v>8</v>
      </c>
      <c r="F17" t="e">
        <f>MATCH(A17,'variable definitions Stephen'!A:A,0)</f>
        <v>#N/A</v>
      </c>
      <c r="G17">
        <f>MATCH(A17&amp;"t",'variable definitions Stephen'!A:A,0)</f>
        <v>37</v>
      </c>
    </row>
    <row r="18" spans="1:8" x14ac:dyDescent="0.25">
      <c r="A18" t="s">
        <v>146</v>
      </c>
      <c r="B18" t="s">
        <v>76</v>
      </c>
      <c r="C18" t="s">
        <v>7</v>
      </c>
      <c r="E18" t="s">
        <v>8</v>
      </c>
      <c r="F18" t="e">
        <f>MATCH(A18,'variable definitions Stephen'!A:A,0)</f>
        <v>#N/A</v>
      </c>
      <c r="G18">
        <f>MATCH(A18&amp;"t",'variable definitions Stephen'!A:A,0)</f>
        <v>38</v>
      </c>
    </row>
    <row r="19" spans="1:8" x14ac:dyDescent="0.25">
      <c r="A19" t="s">
        <v>148</v>
      </c>
      <c r="B19" t="s">
        <v>78</v>
      </c>
      <c r="C19" t="s">
        <v>7</v>
      </c>
      <c r="E19" t="s">
        <v>8</v>
      </c>
      <c r="F19" t="e">
        <f>MATCH(A19,'variable definitions Stephen'!A:A,0)</f>
        <v>#N/A</v>
      </c>
      <c r="G19">
        <f>MATCH(A19&amp;"t",'variable definitions Stephen'!A:A,0)</f>
        <v>39</v>
      </c>
    </row>
    <row r="20" spans="1:8" x14ac:dyDescent="0.25">
      <c r="A20" t="s">
        <v>181</v>
      </c>
      <c r="B20" t="s">
        <v>182</v>
      </c>
      <c r="C20" t="s">
        <v>7</v>
      </c>
      <c r="E20" t="s">
        <v>8</v>
      </c>
      <c r="F20" t="e">
        <f>MATCH(A20,'variable definitions Stephen'!A:A,0)</f>
        <v>#N/A</v>
      </c>
      <c r="G20" t="e">
        <f>MATCH(A20&amp;"t",'variable definitions Stephen'!A:A,0)</f>
        <v>#N/A</v>
      </c>
    </row>
    <row r="21" spans="1:8" x14ac:dyDescent="0.25">
      <c r="A21" t="s">
        <v>183</v>
      </c>
      <c r="B21" t="s">
        <v>178</v>
      </c>
      <c r="C21" t="s">
        <v>7</v>
      </c>
      <c r="E21" t="s">
        <v>8</v>
      </c>
      <c r="F21" t="e">
        <f>MATCH(A21,'variable definitions Stephen'!A:A,0)</f>
        <v>#N/A</v>
      </c>
      <c r="G21">
        <f>MATCH(A21&amp;"t",'variable definitions Stephen'!A:A,0)</f>
        <v>53</v>
      </c>
    </row>
    <row r="22" spans="1:8" x14ac:dyDescent="0.25">
      <c r="A22" t="s">
        <v>184</v>
      </c>
      <c r="B22" t="s">
        <v>185</v>
      </c>
      <c r="C22" t="s">
        <v>7</v>
      </c>
      <c r="E22" t="s">
        <v>8</v>
      </c>
      <c r="F22" t="e">
        <f>MATCH(A22,'variable definitions Stephen'!A:A,0)</f>
        <v>#N/A</v>
      </c>
      <c r="G22" t="e">
        <f>MATCH(A22&amp;"t",'variable definitions Stephen'!A:A,0)</f>
        <v>#N/A</v>
      </c>
    </row>
    <row r="24" spans="1:8" x14ac:dyDescent="0.25">
      <c r="A24" s="1" t="s">
        <v>188</v>
      </c>
      <c r="B24" t="s">
        <v>189</v>
      </c>
      <c r="F24" s="1" t="s">
        <v>210</v>
      </c>
      <c r="G24" s="1" t="s">
        <v>209</v>
      </c>
      <c r="H24" s="1" t="s">
        <v>208</v>
      </c>
    </row>
    <row r="25" spans="1: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</row>
    <row r="26" spans="1:8" x14ac:dyDescent="0.25">
      <c r="A26" t="s">
        <v>191</v>
      </c>
      <c r="B26" t="s">
        <v>180</v>
      </c>
      <c r="C26" t="s">
        <v>7</v>
      </c>
      <c r="E26" t="s">
        <v>8</v>
      </c>
      <c r="F26" t="e">
        <f>MATCH(A26,'variable definitions Stephen'!A:A,0)</f>
        <v>#N/A</v>
      </c>
      <c r="G26" t="e">
        <f>MATCH(LEFT(A26,6)&amp;"t",'variable definitions Stephen'!A:A,0)</f>
        <v>#N/A</v>
      </c>
      <c r="H26">
        <f t="shared" ref="H26:H45" si="0">MATCH(B26,$B$4:$B$22,0)</f>
        <v>1</v>
      </c>
    </row>
    <row r="27" spans="1:8" x14ac:dyDescent="0.25">
      <c r="A27" t="s">
        <v>33</v>
      </c>
      <c r="B27" t="s">
        <v>34</v>
      </c>
      <c r="C27" t="s">
        <v>7</v>
      </c>
      <c r="E27" t="s">
        <v>8</v>
      </c>
      <c r="F27">
        <f>MATCH(A27,'variable definitions Stephen'!A:A,0)</f>
        <v>17</v>
      </c>
      <c r="G27" t="e">
        <f>MATCH(LEFT(A27,6)&amp;"t",'variable definitions Stephen'!A:A,0)</f>
        <v>#N/A</v>
      </c>
      <c r="H27" t="e">
        <f t="shared" si="0"/>
        <v>#N/A</v>
      </c>
    </row>
    <row r="28" spans="1:8" x14ac:dyDescent="0.25">
      <c r="A28" t="s">
        <v>37</v>
      </c>
      <c r="B28" t="s">
        <v>38</v>
      </c>
      <c r="C28" t="s">
        <v>7</v>
      </c>
      <c r="E28" t="s">
        <v>8</v>
      </c>
      <c r="F28">
        <f>MATCH(A28,'variable definitions Stephen'!A:A,0)</f>
        <v>19</v>
      </c>
      <c r="G28" t="e">
        <f>MATCH(LEFT(A28,6)&amp;"t",'variable definitions Stephen'!A:A,0)</f>
        <v>#N/A</v>
      </c>
      <c r="H28" t="e">
        <f t="shared" si="0"/>
        <v>#N/A</v>
      </c>
    </row>
    <row r="29" spans="1:8" x14ac:dyDescent="0.25">
      <c r="A29" t="s">
        <v>41</v>
      </c>
      <c r="B29" t="s">
        <v>42</v>
      </c>
      <c r="C29" t="s">
        <v>7</v>
      </c>
      <c r="E29" t="s">
        <v>8</v>
      </c>
      <c r="F29">
        <f>MATCH(A29,'variable definitions Stephen'!A:A,0)</f>
        <v>21</v>
      </c>
      <c r="G29" t="e">
        <f>MATCH(LEFT(A29,6)&amp;"t",'variable definitions Stephen'!A:A,0)</f>
        <v>#N/A</v>
      </c>
      <c r="H29" t="e">
        <f t="shared" si="0"/>
        <v>#N/A</v>
      </c>
    </row>
    <row r="30" spans="1:8" x14ac:dyDescent="0.25">
      <c r="A30" t="s">
        <v>192</v>
      </c>
      <c r="B30" t="s">
        <v>50</v>
      </c>
      <c r="C30" t="s">
        <v>7</v>
      </c>
      <c r="E30" t="s">
        <v>8</v>
      </c>
      <c r="F30" t="e">
        <f>MATCH(A30,'variable definitions Stephen'!A:A,0)</f>
        <v>#N/A</v>
      </c>
      <c r="G30">
        <f>MATCH(LEFT(A30,6)&amp;"t",'variable definitions Stephen'!A:A,0)</f>
        <v>25</v>
      </c>
      <c r="H30">
        <f t="shared" si="0"/>
        <v>5</v>
      </c>
    </row>
    <row r="31" spans="1:8" x14ac:dyDescent="0.25">
      <c r="A31" t="s">
        <v>193</v>
      </c>
      <c r="B31" t="s">
        <v>54</v>
      </c>
      <c r="C31" t="s">
        <v>7</v>
      </c>
      <c r="E31" t="s">
        <v>8</v>
      </c>
      <c r="F31" t="e">
        <f>MATCH(A31,'variable definitions Stephen'!A:A,0)</f>
        <v>#N/A</v>
      </c>
      <c r="G31">
        <f>MATCH(LEFT(A31,6)&amp;"t",'variable definitions Stephen'!A:A,0)</f>
        <v>27</v>
      </c>
      <c r="H31">
        <f t="shared" si="0"/>
        <v>7</v>
      </c>
    </row>
    <row r="32" spans="1:8" x14ac:dyDescent="0.25">
      <c r="A32" t="s">
        <v>194</v>
      </c>
      <c r="B32" t="s">
        <v>56</v>
      </c>
      <c r="C32" t="s">
        <v>7</v>
      </c>
      <c r="E32" t="s">
        <v>8</v>
      </c>
      <c r="F32" t="e">
        <f>MATCH(A32,'variable definitions Stephen'!A:A,0)</f>
        <v>#N/A</v>
      </c>
      <c r="G32">
        <f>MATCH(LEFT(A32,6)&amp;"t",'variable definitions Stephen'!A:A,0)</f>
        <v>28</v>
      </c>
      <c r="H32">
        <f t="shared" si="0"/>
        <v>8</v>
      </c>
    </row>
    <row r="33" spans="1:8" x14ac:dyDescent="0.25">
      <c r="A33" t="s">
        <v>195</v>
      </c>
      <c r="B33" t="s">
        <v>60</v>
      </c>
      <c r="C33" t="s">
        <v>7</v>
      </c>
      <c r="E33" t="s">
        <v>8</v>
      </c>
      <c r="F33" t="e">
        <f>MATCH(A33,'variable definitions Stephen'!A:A,0)</f>
        <v>#N/A</v>
      </c>
      <c r="G33">
        <f>MATCH(LEFT(A33,6)&amp;"t",'variable definitions Stephen'!A:A,0)</f>
        <v>30</v>
      </c>
      <c r="H33">
        <f t="shared" si="0"/>
        <v>9</v>
      </c>
    </row>
    <row r="34" spans="1:8" x14ac:dyDescent="0.25">
      <c r="A34" t="s">
        <v>196</v>
      </c>
      <c r="B34" t="s">
        <v>62</v>
      </c>
      <c r="C34" t="s">
        <v>7</v>
      </c>
      <c r="E34" t="s">
        <v>8</v>
      </c>
      <c r="F34" t="e">
        <f>MATCH(A34,'variable definitions Stephen'!A:A,0)</f>
        <v>#N/A</v>
      </c>
      <c r="G34">
        <f>MATCH(LEFT(A34,6)&amp;"t",'variable definitions Stephen'!A:A,0)</f>
        <v>31</v>
      </c>
      <c r="H34">
        <f t="shared" si="0"/>
        <v>10</v>
      </c>
    </row>
    <row r="35" spans="1:8" x14ac:dyDescent="0.25">
      <c r="A35" t="s">
        <v>197</v>
      </c>
      <c r="B35" t="s">
        <v>64</v>
      </c>
      <c r="C35" t="s">
        <v>7</v>
      </c>
      <c r="E35" t="s">
        <v>8</v>
      </c>
      <c r="F35" t="e">
        <f>MATCH(A35,'variable definitions Stephen'!A:A,0)</f>
        <v>#N/A</v>
      </c>
      <c r="G35">
        <f>MATCH(LEFT(A35,6)&amp;"t",'variable definitions Stephen'!A:A,0)</f>
        <v>32</v>
      </c>
      <c r="H35">
        <f t="shared" si="0"/>
        <v>11</v>
      </c>
    </row>
    <row r="36" spans="1:8" x14ac:dyDescent="0.25">
      <c r="A36" t="s">
        <v>65</v>
      </c>
      <c r="B36" t="s">
        <v>66</v>
      </c>
      <c r="C36" t="s">
        <v>7</v>
      </c>
      <c r="E36" t="s">
        <v>8</v>
      </c>
      <c r="F36">
        <f>MATCH(A36,'variable definitions Stephen'!A:A,0)</f>
        <v>33</v>
      </c>
      <c r="G36" t="e">
        <f>MATCH(LEFT(A36,6)&amp;"t",'variable definitions Stephen'!A:A,0)</f>
        <v>#N/A</v>
      </c>
      <c r="H36" t="e">
        <f t="shared" si="0"/>
        <v>#N/A</v>
      </c>
    </row>
    <row r="37" spans="1:8" x14ac:dyDescent="0.25">
      <c r="A37" t="s">
        <v>67</v>
      </c>
      <c r="B37" t="s">
        <v>68</v>
      </c>
      <c r="C37" t="s">
        <v>7</v>
      </c>
      <c r="E37" t="s">
        <v>8</v>
      </c>
      <c r="F37">
        <f>MATCH(A37,'variable definitions Stephen'!A:A,0)</f>
        <v>34</v>
      </c>
      <c r="G37" t="e">
        <f>MATCH(LEFT(A37,6)&amp;"t",'variable definitions Stephen'!A:A,0)</f>
        <v>#N/A</v>
      </c>
      <c r="H37" t="e">
        <f t="shared" si="0"/>
        <v>#N/A</v>
      </c>
    </row>
    <row r="38" spans="1:8" x14ac:dyDescent="0.25">
      <c r="A38" t="s">
        <v>198</v>
      </c>
      <c r="B38" t="s">
        <v>70</v>
      </c>
      <c r="C38" t="s">
        <v>7</v>
      </c>
      <c r="E38" t="s">
        <v>8</v>
      </c>
      <c r="F38" t="e">
        <f>MATCH(A38,'variable definitions Stephen'!A:A,0)</f>
        <v>#N/A</v>
      </c>
      <c r="G38">
        <f>MATCH(LEFT(A38,6)&amp;"t",'variable definitions Stephen'!A:A,0)</f>
        <v>35</v>
      </c>
      <c r="H38">
        <f t="shared" si="0"/>
        <v>12</v>
      </c>
    </row>
    <row r="39" spans="1:8" x14ac:dyDescent="0.25">
      <c r="A39" t="s">
        <v>199</v>
      </c>
      <c r="B39" t="s">
        <v>72</v>
      </c>
      <c r="C39" t="s">
        <v>7</v>
      </c>
      <c r="E39" t="s">
        <v>8</v>
      </c>
      <c r="F39" t="e">
        <f>MATCH(A39,'variable definitions Stephen'!A:A,0)</f>
        <v>#N/A</v>
      </c>
      <c r="G39">
        <f>MATCH(LEFT(A39,6)&amp;"t",'variable definitions Stephen'!A:A,0)</f>
        <v>36</v>
      </c>
      <c r="H39">
        <f t="shared" si="0"/>
        <v>13</v>
      </c>
    </row>
    <row r="40" spans="1:8" x14ac:dyDescent="0.25">
      <c r="A40" t="s">
        <v>200</v>
      </c>
      <c r="B40" t="s">
        <v>74</v>
      </c>
      <c r="C40" t="s">
        <v>7</v>
      </c>
      <c r="E40" t="s">
        <v>8</v>
      </c>
      <c r="F40" t="e">
        <f>MATCH(A40,'variable definitions Stephen'!A:A,0)</f>
        <v>#N/A</v>
      </c>
      <c r="G40">
        <f>MATCH(LEFT(A40,6)&amp;"t",'variable definitions Stephen'!A:A,0)</f>
        <v>37</v>
      </c>
      <c r="H40">
        <f t="shared" si="0"/>
        <v>14</v>
      </c>
    </row>
    <row r="41" spans="1:8" x14ac:dyDescent="0.25">
      <c r="A41" t="s">
        <v>201</v>
      </c>
      <c r="B41" t="s">
        <v>76</v>
      </c>
      <c r="C41" t="s">
        <v>7</v>
      </c>
      <c r="E41" t="s">
        <v>8</v>
      </c>
      <c r="F41" t="e">
        <f>MATCH(A41,'variable definitions Stephen'!A:A,0)</f>
        <v>#N/A</v>
      </c>
      <c r="G41">
        <f>MATCH(LEFT(A41,6)&amp;"t",'variable definitions Stephen'!A:A,0)</f>
        <v>38</v>
      </c>
      <c r="H41">
        <f t="shared" si="0"/>
        <v>15</v>
      </c>
    </row>
    <row r="42" spans="1:8" x14ac:dyDescent="0.25">
      <c r="A42" t="s">
        <v>202</v>
      </c>
      <c r="B42" t="s">
        <v>78</v>
      </c>
      <c r="C42" t="s">
        <v>7</v>
      </c>
      <c r="E42" t="s">
        <v>8</v>
      </c>
      <c r="F42" t="e">
        <f>MATCH(A42,'variable definitions Stephen'!A:A,0)</f>
        <v>#N/A</v>
      </c>
      <c r="G42">
        <f>MATCH(LEFT(A42,6)&amp;"t",'variable definitions Stephen'!A:A,0)</f>
        <v>39</v>
      </c>
      <c r="H42">
        <f t="shared" si="0"/>
        <v>16</v>
      </c>
    </row>
    <row r="43" spans="1:8" x14ac:dyDescent="0.25">
      <c r="A43" t="s">
        <v>203</v>
      </c>
      <c r="B43" t="s">
        <v>182</v>
      </c>
      <c r="C43" t="s">
        <v>7</v>
      </c>
      <c r="E43" t="s">
        <v>8</v>
      </c>
      <c r="F43" t="e">
        <f>MATCH(A43,'variable definitions Stephen'!A:A,0)</f>
        <v>#N/A</v>
      </c>
      <c r="G43" t="e">
        <f>MATCH(LEFT(A43,6)&amp;"t",'variable definitions Stephen'!A:A,0)</f>
        <v>#N/A</v>
      </c>
      <c r="H43">
        <f t="shared" si="0"/>
        <v>17</v>
      </c>
    </row>
    <row r="44" spans="1:8" x14ac:dyDescent="0.25">
      <c r="A44" t="s">
        <v>204</v>
      </c>
      <c r="B44" t="s">
        <v>205</v>
      </c>
      <c r="C44" t="s">
        <v>7</v>
      </c>
      <c r="E44" t="s">
        <v>8</v>
      </c>
      <c r="F44" t="e">
        <f>MATCH(A44,'variable definitions Stephen'!A:A,0)</f>
        <v>#N/A</v>
      </c>
      <c r="G44" t="e">
        <f>MATCH(LEFT(A44,6)&amp;"t",'variable definitions Stephen'!A:A,0)</f>
        <v>#N/A</v>
      </c>
      <c r="H44" t="e">
        <f t="shared" si="0"/>
        <v>#N/A</v>
      </c>
    </row>
    <row r="45" spans="1:8" x14ac:dyDescent="0.25">
      <c r="A45" t="s">
        <v>206</v>
      </c>
      <c r="B45" t="s">
        <v>207</v>
      </c>
      <c r="C45" t="s">
        <v>7</v>
      </c>
      <c r="E45" t="s">
        <v>8</v>
      </c>
      <c r="F45" t="e">
        <f>MATCH(A45,'variable definitions Stephen'!A:A,0)</f>
        <v>#N/A</v>
      </c>
      <c r="G45" t="e">
        <f>MATCH(LEFT(A45,6)&amp;"t",'variable definitions Stephen'!A:A,0)</f>
        <v>#N/A</v>
      </c>
      <c r="H45" t="e">
        <f t="shared" si="0"/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BC89-025F-47B5-875E-6C2E3091E088}">
  <dimension ref="A3:F20"/>
  <sheetViews>
    <sheetView workbookViewId="0">
      <selection activeCell="F11" sqref="F4:F11"/>
    </sheetView>
  </sheetViews>
  <sheetFormatPr defaultRowHeight="15" x14ac:dyDescent="0.25"/>
  <cols>
    <col min="2" max="2" width="58.7109375" bestFit="1" customWidth="1"/>
  </cols>
  <sheetData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6" x14ac:dyDescent="0.25">
      <c r="A4" t="s">
        <v>45</v>
      </c>
      <c r="B4" t="s">
        <v>46</v>
      </c>
      <c r="C4" t="s">
        <v>7</v>
      </c>
      <c r="E4" t="s">
        <v>8</v>
      </c>
      <c r="F4">
        <f>MATCH(A4,'variable definitions Stephen'!A:A,0)</f>
        <v>23</v>
      </c>
    </row>
    <row r="5" spans="1:6" x14ac:dyDescent="0.25">
      <c r="A5" t="s">
        <v>47</v>
      </c>
      <c r="B5" t="s">
        <v>48</v>
      </c>
      <c r="C5" t="s">
        <v>7</v>
      </c>
      <c r="E5" t="s">
        <v>8</v>
      </c>
      <c r="F5">
        <f>MATCH(A5,'variable definitions Stephen'!A:A,0)</f>
        <v>24</v>
      </c>
    </row>
    <row r="6" spans="1:6" x14ac:dyDescent="0.25">
      <c r="A6" t="s">
        <v>57</v>
      </c>
      <c r="B6" t="s">
        <v>58</v>
      </c>
      <c r="C6" t="s">
        <v>7</v>
      </c>
      <c r="E6" t="s">
        <v>8</v>
      </c>
      <c r="F6">
        <f>MATCH(A6,'variable definitions Stephen'!A:A,0)</f>
        <v>29</v>
      </c>
    </row>
    <row r="7" spans="1:6" x14ac:dyDescent="0.25">
      <c r="A7" t="s">
        <v>79</v>
      </c>
      <c r="B7" t="s">
        <v>80</v>
      </c>
      <c r="C7" t="s">
        <v>7</v>
      </c>
      <c r="E7" t="s">
        <v>8</v>
      </c>
      <c r="F7">
        <f>MATCH(A7,'variable definitions Stephen'!A:A,0)</f>
        <v>40</v>
      </c>
    </row>
    <row r="8" spans="1:6" x14ac:dyDescent="0.25">
      <c r="A8" t="s">
        <v>81</v>
      </c>
      <c r="B8" t="s">
        <v>82</v>
      </c>
      <c r="C8" t="s">
        <v>7</v>
      </c>
      <c r="E8" t="s">
        <v>8</v>
      </c>
      <c r="F8">
        <f>MATCH(A8,'variable definitions Stephen'!A:A,0)</f>
        <v>41</v>
      </c>
    </row>
    <row r="9" spans="1:6" x14ac:dyDescent="0.25">
      <c r="A9" t="s">
        <v>83</v>
      </c>
      <c r="B9" t="s">
        <v>82</v>
      </c>
      <c r="C9" t="s">
        <v>7</v>
      </c>
      <c r="E9" t="s">
        <v>8</v>
      </c>
      <c r="F9">
        <f>MATCH(A9,'variable definitions Stephen'!A:A,0)</f>
        <v>42</v>
      </c>
    </row>
    <row r="10" spans="1:6" x14ac:dyDescent="0.25">
      <c r="A10" t="s">
        <v>84</v>
      </c>
      <c r="B10" t="s">
        <v>85</v>
      </c>
      <c r="C10" t="s">
        <v>7</v>
      </c>
      <c r="E10" t="s">
        <v>8</v>
      </c>
      <c r="F10">
        <f>MATCH(A10,'variable definitions Stephen'!A:A,0)</f>
        <v>43</v>
      </c>
    </row>
    <row r="11" spans="1:6" x14ac:dyDescent="0.25">
      <c r="A11" t="s">
        <v>86</v>
      </c>
      <c r="B11" t="s">
        <v>87</v>
      </c>
      <c r="C11" t="s">
        <v>7</v>
      </c>
      <c r="E11" t="s">
        <v>8</v>
      </c>
      <c r="F11">
        <f>MATCH(A11,'variable definitions Stephen'!A:A,0)</f>
        <v>44</v>
      </c>
    </row>
    <row r="12" spans="1:6" x14ac:dyDescent="0.25">
      <c r="A12" t="s">
        <v>213</v>
      </c>
      <c r="B12" t="s">
        <v>109</v>
      </c>
      <c r="C12" t="s">
        <v>7</v>
      </c>
      <c r="E12" t="s">
        <v>8</v>
      </c>
      <c r="F12" t="e">
        <f>MATCH(A12,'variable definitions Stephen'!A:A,0)</f>
        <v>#N/A</v>
      </c>
    </row>
    <row r="13" spans="1:6" x14ac:dyDescent="0.25">
      <c r="A13" t="s">
        <v>214</v>
      </c>
      <c r="B13" t="s">
        <v>113</v>
      </c>
      <c r="C13" t="s">
        <v>7</v>
      </c>
      <c r="E13" t="s">
        <v>8</v>
      </c>
      <c r="F13" t="e">
        <f>MATCH(A13,'variable definitions Stephen'!A:A,0)</f>
        <v>#N/A</v>
      </c>
    </row>
    <row r="14" spans="1:6" x14ac:dyDescent="0.25">
      <c r="A14" t="s">
        <v>88</v>
      </c>
      <c r="B14" t="s">
        <v>89</v>
      </c>
      <c r="C14" t="s">
        <v>7</v>
      </c>
      <c r="E14" t="s">
        <v>8</v>
      </c>
      <c r="F14">
        <f>MATCH(A14,'variable definitions Stephen'!A:A,0)</f>
        <v>45</v>
      </c>
    </row>
    <row r="15" spans="1:6" x14ac:dyDescent="0.25">
      <c r="A15" t="s">
        <v>90</v>
      </c>
      <c r="B15" t="s">
        <v>91</v>
      </c>
      <c r="C15" t="s">
        <v>7</v>
      </c>
      <c r="E15" t="s">
        <v>8</v>
      </c>
      <c r="F15">
        <f>MATCH(A15,'variable definitions Stephen'!A:A,0)</f>
        <v>46</v>
      </c>
    </row>
    <row r="16" spans="1:6" x14ac:dyDescent="0.25">
      <c r="A16" t="s">
        <v>92</v>
      </c>
      <c r="B16" t="s">
        <v>93</v>
      </c>
      <c r="C16" t="s">
        <v>7</v>
      </c>
      <c r="E16" t="s">
        <v>8</v>
      </c>
      <c r="F16">
        <f>MATCH(A16,'variable definitions Stephen'!A:A,0)</f>
        <v>47</v>
      </c>
    </row>
    <row r="17" spans="1:6" x14ac:dyDescent="0.25">
      <c r="A17" t="s">
        <v>94</v>
      </c>
      <c r="B17" t="s">
        <v>95</v>
      </c>
      <c r="C17" t="s">
        <v>7</v>
      </c>
      <c r="E17" t="s">
        <v>8</v>
      </c>
      <c r="F17">
        <f>MATCH(A17,'variable definitions Stephen'!A:A,0)</f>
        <v>48</v>
      </c>
    </row>
    <row r="18" spans="1:6" x14ac:dyDescent="0.25">
      <c r="A18" t="s">
        <v>215</v>
      </c>
      <c r="B18" t="s">
        <v>216</v>
      </c>
      <c r="C18" t="s">
        <v>7</v>
      </c>
      <c r="E18" t="s">
        <v>8</v>
      </c>
      <c r="F18" t="e">
        <f>MATCH(A18,'variable definitions Stephen'!A:A,0)</f>
        <v>#N/A</v>
      </c>
    </row>
    <row r="19" spans="1:6" x14ac:dyDescent="0.25">
      <c r="A19" t="s">
        <v>217</v>
      </c>
      <c r="B19" t="s">
        <v>218</v>
      </c>
      <c r="C19" t="s">
        <v>7</v>
      </c>
      <c r="E19" t="s">
        <v>8</v>
      </c>
      <c r="F19" t="e">
        <f>MATCH(A19,'variable definitions Stephen'!A:A,0)</f>
        <v>#N/A</v>
      </c>
    </row>
    <row r="20" spans="1:6" x14ac:dyDescent="0.25">
      <c r="A20" t="s">
        <v>219</v>
      </c>
      <c r="B20" t="s">
        <v>220</v>
      </c>
      <c r="C20" t="s">
        <v>7</v>
      </c>
      <c r="E20" t="s">
        <v>8</v>
      </c>
      <c r="F20" t="e">
        <f>MATCH(A20,'variable definitions Stephen'!A:A,0)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68E9-A016-4450-B893-8EC589D1B2B7}">
  <dimension ref="A2:C107"/>
  <sheetViews>
    <sheetView workbookViewId="0">
      <selection activeCell="B78" sqref="B78"/>
    </sheetView>
  </sheetViews>
  <sheetFormatPr defaultRowHeight="15" x14ac:dyDescent="0.25"/>
  <cols>
    <col min="2" max="2" width="53.5703125" bestFit="1" customWidth="1"/>
  </cols>
  <sheetData>
    <row r="2" spans="1:3" x14ac:dyDescent="0.25">
      <c r="A2" t="s">
        <v>33</v>
      </c>
      <c r="B2" t="s">
        <v>34</v>
      </c>
      <c r="C2">
        <f>MATCH(A2,'variable definitions Stephen'!A:A,0)</f>
        <v>17</v>
      </c>
    </row>
    <row r="3" spans="1:3" x14ac:dyDescent="0.25">
      <c r="A3" t="s">
        <v>221</v>
      </c>
      <c r="B3" t="s">
        <v>34</v>
      </c>
      <c r="C3" t="e">
        <f>MATCH(A3,'variable definitions Stephen'!A:A,0)</f>
        <v>#N/A</v>
      </c>
    </row>
    <row r="4" spans="1:3" x14ac:dyDescent="0.25">
      <c r="A4" t="s">
        <v>134</v>
      </c>
      <c r="B4" t="s">
        <v>36</v>
      </c>
      <c r="C4" t="e">
        <f>MATCH(A4,'variable definitions Stephen'!A:A,0)</f>
        <v>#N/A</v>
      </c>
    </row>
    <row r="5" spans="1:3" x14ac:dyDescent="0.25">
      <c r="A5" t="s">
        <v>35</v>
      </c>
      <c r="B5" t="s">
        <v>36</v>
      </c>
      <c r="C5">
        <f>MATCH(A5,'variable definitions Stephen'!A:A,0)</f>
        <v>18</v>
      </c>
    </row>
    <row r="6" spans="1:3" x14ac:dyDescent="0.25">
      <c r="A6" t="s">
        <v>37</v>
      </c>
      <c r="B6" t="s">
        <v>38</v>
      </c>
      <c r="C6">
        <f>MATCH(A6,'variable definitions Stephen'!A:A,0)</f>
        <v>19</v>
      </c>
    </row>
    <row r="7" spans="1:3" x14ac:dyDescent="0.25">
      <c r="A7" t="s">
        <v>135</v>
      </c>
      <c r="B7" t="s">
        <v>40</v>
      </c>
      <c r="C7" t="e">
        <f>MATCH(A7,'variable definitions Stephen'!A:A,0)</f>
        <v>#N/A</v>
      </c>
    </row>
    <row r="8" spans="1:3" x14ac:dyDescent="0.25">
      <c r="A8" t="s">
        <v>39</v>
      </c>
      <c r="B8" t="s">
        <v>40</v>
      </c>
      <c r="C8">
        <f>MATCH(A8,'variable definitions Stephen'!A:A,0)</f>
        <v>20</v>
      </c>
    </row>
    <row r="9" spans="1:3" x14ac:dyDescent="0.25">
      <c r="A9" t="s">
        <v>41</v>
      </c>
      <c r="B9" t="s">
        <v>42</v>
      </c>
      <c r="C9">
        <f>MATCH(A9,'variable definitions Stephen'!A:A,0)</f>
        <v>21</v>
      </c>
    </row>
    <row r="10" spans="1:3" x14ac:dyDescent="0.25">
      <c r="A10" t="s">
        <v>222</v>
      </c>
      <c r="B10" t="s">
        <v>42</v>
      </c>
      <c r="C10" t="e">
        <f>MATCH(A10,'variable definitions Stephen'!A:A,0)</f>
        <v>#N/A</v>
      </c>
    </row>
    <row r="11" spans="1:3" x14ac:dyDescent="0.25">
      <c r="A11" t="s">
        <v>136</v>
      </c>
      <c r="B11" t="s">
        <v>44</v>
      </c>
      <c r="C11" t="e">
        <f>MATCH(A11,'variable definitions Stephen'!A:A,0)</f>
        <v>#N/A</v>
      </c>
    </row>
    <row r="12" spans="1:3" x14ac:dyDescent="0.25">
      <c r="A12" t="s">
        <v>43</v>
      </c>
      <c r="B12" t="s">
        <v>44</v>
      </c>
      <c r="C12">
        <f>MATCH(A12,'variable definitions Stephen'!A:A,0)</f>
        <v>22</v>
      </c>
    </row>
    <row r="13" spans="1:3" x14ac:dyDescent="0.25">
      <c r="A13" t="s">
        <v>122</v>
      </c>
      <c r="B13" t="s">
        <v>46</v>
      </c>
      <c r="C13" t="e">
        <f>MATCH(A13,'variable definitions Stephen'!A:A,0)</f>
        <v>#N/A</v>
      </c>
    </row>
    <row r="14" spans="1:3" x14ac:dyDescent="0.25">
      <c r="A14" t="s">
        <v>223</v>
      </c>
      <c r="B14" t="s">
        <v>46</v>
      </c>
      <c r="C14" t="e">
        <f>MATCH(A14,'variable definitions Stephen'!A:A,0)</f>
        <v>#N/A</v>
      </c>
    </row>
    <row r="15" spans="1:3" x14ac:dyDescent="0.25">
      <c r="A15" t="s">
        <v>45</v>
      </c>
      <c r="B15" t="s">
        <v>46</v>
      </c>
      <c r="C15">
        <f>MATCH(A15,'variable definitions Stephen'!A:A,0)</f>
        <v>23</v>
      </c>
    </row>
    <row r="16" spans="1:3" x14ac:dyDescent="0.25">
      <c r="A16" t="s">
        <v>224</v>
      </c>
      <c r="B16" t="s">
        <v>46</v>
      </c>
      <c r="C16" t="e">
        <f>MATCH(A16,'variable definitions Stephen'!A:A,0)</f>
        <v>#N/A</v>
      </c>
    </row>
    <row r="17" spans="1:3" x14ac:dyDescent="0.25">
      <c r="A17" t="s">
        <v>128</v>
      </c>
      <c r="B17" t="s">
        <v>48</v>
      </c>
      <c r="C17" t="e">
        <f>MATCH(A17,'variable definitions Stephen'!A:A,0)</f>
        <v>#N/A</v>
      </c>
    </row>
    <row r="18" spans="1:3" x14ac:dyDescent="0.25">
      <c r="A18" t="s">
        <v>225</v>
      </c>
      <c r="B18" t="s">
        <v>48</v>
      </c>
      <c r="C18" t="e">
        <f>MATCH(A18,'variable definitions Stephen'!A:A,0)</f>
        <v>#N/A</v>
      </c>
    </row>
    <row r="19" spans="1:3" x14ac:dyDescent="0.25">
      <c r="A19" t="s">
        <v>47</v>
      </c>
      <c r="B19" t="s">
        <v>48</v>
      </c>
      <c r="C19">
        <f>MATCH(A19,'variable definitions Stephen'!A:A,0)</f>
        <v>24</v>
      </c>
    </row>
    <row r="20" spans="1:3" x14ac:dyDescent="0.25">
      <c r="A20" t="s">
        <v>139</v>
      </c>
      <c r="B20" t="s">
        <v>50</v>
      </c>
      <c r="C20" t="e">
        <f>MATCH(A20,'variable definitions Stephen'!A:A,0)</f>
        <v>#N/A</v>
      </c>
    </row>
    <row r="21" spans="1:3" x14ac:dyDescent="0.25">
      <c r="A21" t="s">
        <v>192</v>
      </c>
      <c r="B21" t="s">
        <v>50</v>
      </c>
      <c r="C21" t="e">
        <f>MATCH(A21,'variable definitions Stephen'!A:A,0)</f>
        <v>#N/A</v>
      </c>
    </row>
    <row r="22" spans="1:3" x14ac:dyDescent="0.25">
      <c r="A22" t="s">
        <v>49</v>
      </c>
      <c r="B22" t="s">
        <v>50</v>
      </c>
      <c r="C22">
        <f>MATCH(A22,'variable definitions Stephen'!A:A,0)</f>
        <v>25</v>
      </c>
    </row>
    <row r="23" spans="1:3" x14ac:dyDescent="0.25">
      <c r="A23" t="s">
        <v>226</v>
      </c>
      <c r="B23" t="s">
        <v>227</v>
      </c>
      <c r="C23" t="e">
        <f>MATCH(A23,'variable definitions Stephen'!A:A,0)</f>
        <v>#N/A</v>
      </c>
    </row>
    <row r="24" spans="1:3" x14ac:dyDescent="0.25">
      <c r="A24" t="s">
        <v>140</v>
      </c>
      <c r="B24" t="s">
        <v>52</v>
      </c>
      <c r="C24" t="e">
        <f>MATCH(A24,'variable definitions Stephen'!A:A,0)</f>
        <v>#N/A</v>
      </c>
    </row>
    <row r="25" spans="1:3" x14ac:dyDescent="0.25">
      <c r="A25" t="s">
        <v>228</v>
      </c>
      <c r="B25" t="s">
        <v>52</v>
      </c>
      <c r="C25" t="e">
        <f>MATCH(A25,'variable definitions Stephen'!A:A,0)</f>
        <v>#N/A</v>
      </c>
    </row>
    <row r="26" spans="1:3" x14ac:dyDescent="0.25">
      <c r="A26" t="s">
        <v>51</v>
      </c>
      <c r="B26" t="s">
        <v>52</v>
      </c>
      <c r="C26">
        <f>MATCH(A26,'variable definitions Stephen'!A:A,0)</f>
        <v>26</v>
      </c>
    </row>
    <row r="27" spans="1:3" x14ac:dyDescent="0.25">
      <c r="A27" t="s">
        <v>229</v>
      </c>
      <c r="B27" t="s">
        <v>52</v>
      </c>
      <c r="C27" t="e">
        <f>MATCH(A27,'variable definitions Stephen'!A:A,0)</f>
        <v>#N/A</v>
      </c>
    </row>
    <row r="28" spans="1:3" x14ac:dyDescent="0.25">
      <c r="A28" t="s">
        <v>141</v>
      </c>
      <c r="B28" t="s">
        <v>54</v>
      </c>
      <c r="C28" t="e">
        <f>MATCH(A28,'variable definitions Stephen'!A:A,0)</f>
        <v>#N/A</v>
      </c>
    </row>
    <row r="29" spans="1:3" x14ac:dyDescent="0.25">
      <c r="A29" t="s">
        <v>193</v>
      </c>
      <c r="B29" t="s">
        <v>54</v>
      </c>
      <c r="C29" t="e">
        <f>MATCH(A29,'variable definitions Stephen'!A:A,0)</f>
        <v>#N/A</v>
      </c>
    </row>
    <row r="30" spans="1:3" x14ac:dyDescent="0.25">
      <c r="A30" t="s">
        <v>53</v>
      </c>
      <c r="B30" t="s">
        <v>54</v>
      </c>
      <c r="C30">
        <f>MATCH(A30,'variable definitions Stephen'!A:A,0)</f>
        <v>27</v>
      </c>
    </row>
    <row r="31" spans="1:3" x14ac:dyDescent="0.25">
      <c r="A31" t="s">
        <v>230</v>
      </c>
      <c r="B31" t="s">
        <v>54</v>
      </c>
      <c r="C31" t="e">
        <f>MATCH(A31,'variable definitions Stephen'!A:A,0)</f>
        <v>#N/A</v>
      </c>
    </row>
    <row r="32" spans="1:3" x14ac:dyDescent="0.25">
      <c r="A32" t="s">
        <v>150</v>
      </c>
      <c r="B32" t="s">
        <v>56</v>
      </c>
      <c r="C32" t="e">
        <f>MATCH(A32,'variable definitions Stephen'!A:A,0)</f>
        <v>#N/A</v>
      </c>
    </row>
    <row r="33" spans="1:3" x14ac:dyDescent="0.25">
      <c r="A33" t="s">
        <v>194</v>
      </c>
      <c r="B33" t="s">
        <v>56</v>
      </c>
      <c r="C33" t="e">
        <f>MATCH(A33,'variable definitions Stephen'!A:A,0)</f>
        <v>#N/A</v>
      </c>
    </row>
    <row r="34" spans="1:3" x14ac:dyDescent="0.25">
      <c r="A34" t="s">
        <v>55</v>
      </c>
      <c r="B34" t="s">
        <v>56</v>
      </c>
      <c r="C34">
        <f>MATCH(A34,'variable definitions Stephen'!A:A,0)</f>
        <v>28</v>
      </c>
    </row>
    <row r="35" spans="1:3" x14ac:dyDescent="0.25">
      <c r="A35" t="s">
        <v>231</v>
      </c>
      <c r="B35" t="s">
        <v>56</v>
      </c>
      <c r="C35" t="e">
        <f>MATCH(A35,'variable definitions Stephen'!A:A,0)</f>
        <v>#N/A</v>
      </c>
    </row>
    <row r="36" spans="1:3" x14ac:dyDescent="0.25">
      <c r="A36" t="s">
        <v>123</v>
      </c>
      <c r="B36" t="s">
        <v>58</v>
      </c>
      <c r="C36" t="e">
        <f>MATCH(A36,'variable definitions Stephen'!A:A,0)</f>
        <v>#N/A</v>
      </c>
    </row>
    <row r="37" spans="1:3" x14ac:dyDescent="0.25">
      <c r="A37" t="s">
        <v>232</v>
      </c>
      <c r="B37" t="s">
        <v>58</v>
      </c>
      <c r="C37" t="e">
        <f>MATCH(A37,'variable definitions Stephen'!A:A,0)</f>
        <v>#N/A</v>
      </c>
    </row>
    <row r="38" spans="1:3" x14ac:dyDescent="0.25">
      <c r="A38" t="s">
        <v>57</v>
      </c>
      <c r="B38" t="s">
        <v>58</v>
      </c>
      <c r="C38">
        <f>MATCH(A38,'variable definitions Stephen'!A:A,0)</f>
        <v>29</v>
      </c>
    </row>
    <row r="39" spans="1:3" x14ac:dyDescent="0.25">
      <c r="A39" t="s">
        <v>142</v>
      </c>
      <c r="B39" t="s">
        <v>60</v>
      </c>
      <c r="C39" t="e">
        <f>MATCH(A39,'variable definitions Stephen'!A:A,0)</f>
        <v>#N/A</v>
      </c>
    </row>
    <row r="40" spans="1:3" x14ac:dyDescent="0.25">
      <c r="A40" t="s">
        <v>195</v>
      </c>
      <c r="B40" t="s">
        <v>60</v>
      </c>
      <c r="C40" t="e">
        <f>MATCH(A40,'variable definitions Stephen'!A:A,0)</f>
        <v>#N/A</v>
      </c>
    </row>
    <row r="41" spans="1:3" x14ac:dyDescent="0.25">
      <c r="A41" t="s">
        <v>233</v>
      </c>
      <c r="B41" t="s">
        <v>60</v>
      </c>
      <c r="C41" t="e">
        <f>MATCH(A41,'variable definitions Stephen'!A:A,0)</f>
        <v>#N/A</v>
      </c>
    </row>
    <row r="42" spans="1:3" x14ac:dyDescent="0.25">
      <c r="A42" t="s">
        <v>59</v>
      </c>
      <c r="B42" t="s">
        <v>60</v>
      </c>
      <c r="C42">
        <f>MATCH(A42,'variable definitions Stephen'!A:A,0)</f>
        <v>30</v>
      </c>
    </row>
    <row r="43" spans="1:3" x14ac:dyDescent="0.25">
      <c r="A43" t="s">
        <v>143</v>
      </c>
      <c r="B43" t="s">
        <v>62</v>
      </c>
      <c r="C43" t="e">
        <f>MATCH(A43,'variable definitions Stephen'!A:A,0)</f>
        <v>#N/A</v>
      </c>
    </row>
    <row r="44" spans="1:3" x14ac:dyDescent="0.25">
      <c r="A44" t="s">
        <v>196</v>
      </c>
      <c r="B44" t="s">
        <v>62</v>
      </c>
      <c r="C44" t="e">
        <f>MATCH(A44,'variable definitions Stephen'!A:A,0)</f>
        <v>#N/A</v>
      </c>
    </row>
    <row r="45" spans="1:3" x14ac:dyDescent="0.25">
      <c r="A45" t="s">
        <v>234</v>
      </c>
      <c r="B45" t="s">
        <v>62</v>
      </c>
      <c r="C45" t="e">
        <f>MATCH(A45,'variable definitions Stephen'!A:A,0)</f>
        <v>#N/A</v>
      </c>
    </row>
    <row r="46" spans="1:3" x14ac:dyDescent="0.25">
      <c r="A46" t="s">
        <v>61</v>
      </c>
      <c r="B46" t="s">
        <v>62</v>
      </c>
      <c r="C46">
        <f>MATCH(A46,'variable definitions Stephen'!A:A,0)</f>
        <v>31</v>
      </c>
    </row>
    <row r="47" spans="1:3" x14ac:dyDescent="0.25">
      <c r="A47" t="s">
        <v>144</v>
      </c>
      <c r="B47" t="s">
        <v>64</v>
      </c>
      <c r="C47" t="e">
        <f>MATCH(A47,'variable definitions Stephen'!A:A,0)</f>
        <v>#N/A</v>
      </c>
    </row>
    <row r="48" spans="1:3" x14ac:dyDescent="0.25">
      <c r="A48" t="s">
        <v>197</v>
      </c>
      <c r="B48" t="s">
        <v>64</v>
      </c>
      <c r="C48" t="e">
        <f>MATCH(A48,'variable definitions Stephen'!A:A,0)</f>
        <v>#N/A</v>
      </c>
    </row>
    <row r="49" spans="1:3" x14ac:dyDescent="0.25">
      <c r="A49" t="s">
        <v>235</v>
      </c>
      <c r="B49" t="s">
        <v>64</v>
      </c>
      <c r="C49" t="e">
        <f>MATCH(A49,'variable definitions Stephen'!A:A,0)</f>
        <v>#N/A</v>
      </c>
    </row>
    <row r="50" spans="1:3" x14ac:dyDescent="0.25">
      <c r="A50" t="s">
        <v>63</v>
      </c>
      <c r="B50" t="s">
        <v>64</v>
      </c>
      <c r="C50">
        <f>MATCH(A50,'variable definitions Stephen'!A:A,0)</f>
        <v>32</v>
      </c>
    </row>
    <row r="51" spans="1:3" x14ac:dyDescent="0.25">
      <c r="A51" t="s">
        <v>65</v>
      </c>
      <c r="B51" t="s">
        <v>66</v>
      </c>
      <c r="C51">
        <f>MATCH(A51,'variable definitions Stephen'!A:A,0)</f>
        <v>33</v>
      </c>
    </row>
    <row r="52" spans="1:3" x14ac:dyDescent="0.25">
      <c r="A52" t="s">
        <v>67</v>
      </c>
      <c r="B52" t="s">
        <v>68</v>
      </c>
      <c r="C52">
        <f>MATCH(A52,'variable definitions Stephen'!A:A,0)</f>
        <v>34</v>
      </c>
    </row>
    <row r="53" spans="1:3" x14ac:dyDescent="0.25">
      <c r="A53" t="s">
        <v>145</v>
      </c>
      <c r="B53" t="s">
        <v>70</v>
      </c>
      <c r="C53" t="e">
        <f>MATCH(A53,'variable definitions Stephen'!A:A,0)</f>
        <v>#N/A</v>
      </c>
    </row>
    <row r="54" spans="1:3" x14ac:dyDescent="0.25">
      <c r="A54" t="s">
        <v>198</v>
      </c>
      <c r="B54" t="s">
        <v>70</v>
      </c>
      <c r="C54" t="e">
        <f>MATCH(A54,'variable definitions Stephen'!A:A,0)</f>
        <v>#N/A</v>
      </c>
    </row>
    <row r="55" spans="1:3" x14ac:dyDescent="0.25">
      <c r="A55" t="s">
        <v>69</v>
      </c>
      <c r="B55" t="s">
        <v>70</v>
      </c>
      <c r="C55">
        <f>MATCH(A55,'variable definitions Stephen'!A:A,0)</f>
        <v>35</v>
      </c>
    </row>
    <row r="56" spans="1:3" x14ac:dyDescent="0.25">
      <c r="A56" t="s">
        <v>149</v>
      </c>
      <c r="B56" t="s">
        <v>72</v>
      </c>
      <c r="C56" t="e">
        <f>MATCH(A56,'variable definitions Stephen'!A:A,0)</f>
        <v>#N/A</v>
      </c>
    </row>
    <row r="57" spans="1:3" x14ac:dyDescent="0.25">
      <c r="A57" t="s">
        <v>199</v>
      </c>
      <c r="B57" t="s">
        <v>72</v>
      </c>
      <c r="C57" t="e">
        <f>MATCH(A57,'variable definitions Stephen'!A:A,0)</f>
        <v>#N/A</v>
      </c>
    </row>
    <row r="58" spans="1:3" x14ac:dyDescent="0.25">
      <c r="A58" t="s">
        <v>71</v>
      </c>
      <c r="B58" t="s">
        <v>72</v>
      </c>
      <c r="C58">
        <f>MATCH(A58,'variable definitions Stephen'!A:A,0)</f>
        <v>36</v>
      </c>
    </row>
    <row r="59" spans="1:3" x14ac:dyDescent="0.25">
      <c r="A59" t="s">
        <v>147</v>
      </c>
      <c r="B59" t="s">
        <v>74</v>
      </c>
      <c r="C59" t="e">
        <f>MATCH(A59,'variable definitions Stephen'!A:A,0)</f>
        <v>#N/A</v>
      </c>
    </row>
    <row r="60" spans="1:3" x14ac:dyDescent="0.25">
      <c r="A60" t="s">
        <v>200</v>
      </c>
      <c r="B60" t="s">
        <v>74</v>
      </c>
      <c r="C60" t="e">
        <f>MATCH(A60,'variable definitions Stephen'!A:A,0)</f>
        <v>#N/A</v>
      </c>
    </row>
    <row r="61" spans="1:3" x14ac:dyDescent="0.25">
      <c r="A61" t="s">
        <v>73</v>
      </c>
      <c r="B61" t="s">
        <v>74</v>
      </c>
      <c r="C61">
        <f>MATCH(A61,'variable definitions Stephen'!A:A,0)</f>
        <v>37</v>
      </c>
    </row>
    <row r="62" spans="1:3" x14ac:dyDescent="0.25">
      <c r="A62" t="s">
        <v>146</v>
      </c>
      <c r="B62" t="s">
        <v>76</v>
      </c>
      <c r="C62" t="e">
        <f>MATCH(A62,'variable definitions Stephen'!A:A,0)</f>
        <v>#N/A</v>
      </c>
    </row>
    <row r="63" spans="1:3" x14ac:dyDescent="0.25">
      <c r="A63" t="s">
        <v>201</v>
      </c>
      <c r="B63" t="s">
        <v>76</v>
      </c>
      <c r="C63" t="e">
        <f>MATCH(A63,'variable definitions Stephen'!A:A,0)</f>
        <v>#N/A</v>
      </c>
    </row>
    <row r="64" spans="1:3" x14ac:dyDescent="0.25">
      <c r="A64" t="s">
        <v>75</v>
      </c>
      <c r="B64" t="s">
        <v>76</v>
      </c>
      <c r="C64">
        <f>MATCH(A64,'variable definitions Stephen'!A:A,0)</f>
        <v>38</v>
      </c>
    </row>
    <row r="65" spans="1:3" x14ac:dyDescent="0.25">
      <c r="A65" t="s">
        <v>148</v>
      </c>
      <c r="B65" t="s">
        <v>78</v>
      </c>
      <c r="C65" t="e">
        <f>MATCH(A65,'variable definitions Stephen'!A:A,0)</f>
        <v>#N/A</v>
      </c>
    </row>
    <row r="66" spans="1:3" x14ac:dyDescent="0.25">
      <c r="A66" t="s">
        <v>202</v>
      </c>
      <c r="B66" t="s">
        <v>78</v>
      </c>
      <c r="C66" t="e">
        <f>MATCH(A66,'variable definitions Stephen'!A:A,0)</f>
        <v>#N/A</v>
      </c>
    </row>
    <row r="67" spans="1:3" x14ac:dyDescent="0.25">
      <c r="A67" t="s">
        <v>77</v>
      </c>
      <c r="B67" t="s">
        <v>78</v>
      </c>
      <c r="C67">
        <f>MATCH(A67,'variable definitions Stephen'!A:A,0)</f>
        <v>39</v>
      </c>
    </row>
    <row r="68" spans="1:3" x14ac:dyDescent="0.25">
      <c r="A68" t="s">
        <v>129</v>
      </c>
      <c r="B68" t="s">
        <v>80</v>
      </c>
      <c r="C68" t="e">
        <f>MATCH(A68,'variable definitions Stephen'!A:A,0)</f>
        <v>#N/A</v>
      </c>
    </row>
    <row r="69" spans="1:3" x14ac:dyDescent="0.25">
      <c r="A69" t="s">
        <v>236</v>
      </c>
      <c r="B69" t="s">
        <v>80</v>
      </c>
      <c r="C69" t="e">
        <f>MATCH(A69,'variable definitions Stephen'!A:A,0)</f>
        <v>#N/A</v>
      </c>
    </row>
    <row r="70" spans="1:3" x14ac:dyDescent="0.25">
      <c r="A70" t="s">
        <v>79</v>
      </c>
      <c r="B70" t="s">
        <v>80</v>
      </c>
      <c r="C70">
        <f>MATCH(A70,'variable definitions Stephen'!A:A,0)</f>
        <v>40</v>
      </c>
    </row>
    <row r="71" spans="1:3" x14ac:dyDescent="0.25">
      <c r="A71" t="s">
        <v>237</v>
      </c>
      <c r="B71" t="s">
        <v>119</v>
      </c>
      <c r="C71" t="e">
        <f>MATCH(A71,'variable definitions Stephen'!A:A,0)</f>
        <v>#N/A</v>
      </c>
    </row>
    <row r="72" spans="1:3" x14ac:dyDescent="0.25">
      <c r="A72" t="s">
        <v>118</v>
      </c>
      <c r="B72" t="s">
        <v>119</v>
      </c>
      <c r="C72" t="e">
        <f>MATCH(A72,'variable definitions Stephen'!A:A,0)</f>
        <v>#N/A</v>
      </c>
    </row>
    <row r="73" spans="1:3" x14ac:dyDescent="0.25">
      <c r="A73" t="s">
        <v>238</v>
      </c>
      <c r="B73" t="s">
        <v>119</v>
      </c>
      <c r="C73" t="e">
        <f>MATCH(A73,'variable definitions Stephen'!A:A,0)</f>
        <v>#N/A</v>
      </c>
    </row>
    <row r="74" spans="1:3" x14ac:dyDescent="0.25">
      <c r="A74" t="s">
        <v>81</v>
      </c>
      <c r="B74" t="s">
        <v>82</v>
      </c>
      <c r="C74">
        <f>MATCH(A74,'variable definitions Stephen'!A:A,0)</f>
        <v>41</v>
      </c>
    </row>
    <row r="75" spans="1:3" x14ac:dyDescent="0.25">
      <c r="A75" t="s">
        <v>120</v>
      </c>
      <c r="B75" t="s">
        <v>82</v>
      </c>
      <c r="C75" t="e">
        <f>MATCH(A75,'variable definitions Stephen'!A:A,0)</f>
        <v>#N/A</v>
      </c>
    </row>
    <row r="76" spans="1:3" x14ac:dyDescent="0.25">
      <c r="A76" t="s">
        <v>239</v>
      </c>
      <c r="B76" t="s">
        <v>82</v>
      </c>
      <c r="C76" t="e">
        <f>MATCH(A76,'variable definitions Stephen'!A:A,0)</f>
        <v>#N/A</v>
      </c>
    </row>
    <row r="77" spans="1:3" x14ac:dyDescent="0.25">
      <c r="A77" t="s">
        <v>83</v>
      </c>
      <c r="B77" t="s">
        <v>82</v>
      </c>
      <c r="C77">
        <f>MATCH(A77,'variable definitions Stephen'!A:A,0)</f>
        <v>42</v>
      </c>
    </row>
    <row r="78" spans="1:3" x14ac:dyDescent="0.25">
      <c r="A78" t="s">
        <v>240</v>
      </c>
      <c r="B78" t="s">
        <v>241</v>
      </c>
      <c r="C78" t="e">
        <f>MATCH(A78,'variable definitions Stephen'!A:A,0)</f>
        <v>#N/A</v>
      </c>
    </row>
    <row r="79" spans="1:3" x14ac:dyDescent="0.25">
      <c r="A79" t="s">
        <v>131</v>
      </c>
      <c r="B79" t="s">
        <v>85</v>
      </c>
      <c r="C79" t="e">
        <f>MATCH(A79,'variable definitions Stephen'!A:A,0)</f>
        <v>#N/A</v>
      </c>
    </row>
    <row r="80" spans="1:3" x14ac:dyDescent="0.25">
      <c r="A80" t="s">
        <v>242</v>
      </c>
      <c r="B80" t="s">
        <v>85</v>
      </c>
      <c r="C80" t="e">
        <f>MATCH(A80,'variable definitions Stephen'!A:A,0)</f>
        <v>#N/A</v>
      </c>
    </row>
    <row r="81" spans="1:3" x14ac:dyDescent="0.25">
      <c r="A81" t="s">
        <v>84</v>
      </c>
      <c r="B81" t="s">
        <v>85</v>
      </c>
      <c r="C81">
        <f>MATCH(A81,'variable definitions Stephen'!A:A,0)</f>
        <v>43</v>
      </c>
    </row>
    <row r="82" spans="1:3" x14ac:dyDescent="0.25">
      <c r="A82" t="s">
        <v>126</v>
      </c>
      <c r="B82" t="s">
        <v>87</v>
      </c>
      <c r="C82" t="e">
        <f>MATCH(A82,'variable definitions Stephen'!A:A,0)</f>
        <v>#N/A</v>
      </c>
    </row>
    <row r="83" spans="1:3" x14ac:dyDescent="0.25">
      <c r="A83" t="s">
        <v>243</v>
      </c>
      <c r="B83" t="s">
        <v>87</v>
      </c>
      <c r="C83" t="e">
        <f>MATCH(A83,'variable definitions Stephen'!A:A,0)</f>
        <v>#N/A</v>
      </c>
    </row>
    <row r="84" spans="1:3" x14ac:dyDescent="0.25">
      <c r="A84" t="s">
        <v>86</v>
      </c>
      <c r="B84" t="s">
        <v>87</v>
      </c>
      <c r="C84">
        <f>MATCH(A84,'variable definitions Stephen'!A:A,0)</f>
        <v>44</v>
      </c>
    </row>
    <row r="85" spans="1:3" x14ac:dyDescent="0.25">
      <c r="A85" t="s">
        <v>108</v>
      </c>
      <c r="B85" t="s">
        <v>109</v>
      </c>
      <c r="C85" t="e">
        <f>MATCH(A85,'variable definitions Stephen'!A:A,0)</f>
        <v>#N/A</v>
      </c>
    </row>
    <row r="86" spans="1:3" x14ac:dyDescent="0.25">
      <c r="A86" t="s">
        <v>244</v>
      </c>
      <c r="B86" t="s">
        <v>109</v>
      </c>
      <c r="C86" t="e">
        <f>MATCH(A86,'variable definitions Stephen'!A:A,0)</f>
        <v>#N/A</v>
      </c>
    </row>
    <row r="87" spans="1:3" x14ac:dyDescent="0.25">
      <c r="A87" t="s">
        <v>213</v>
      </c>
      <c r="B87" t="s">
        <v>109</v>
      </c>
      <c r="C87" t="e">
        <f>MATCH(A87,'variable definitions Stephen'!A:A,0)</f>
        <v>#N/A</v>
      </c>
    </row>
    <row r="88" spans="1:3" x14ac:dyDescent="0.25">
      <c r="A88" t="s">
        <v>245</v>
      </c>
      <c r="B88" t="s">
        <v>109</v>
      </c>
      <c r="C88" t="e">
        <f>MATCH(A88,'variable definitions Stephen'!A:A,0)</f>
        <v>#N/A</v>
      </c>
    </row>
    <row r="89" spans="1:3" x14ac:dyDescent="0.25">
      <c r="A89" t="s">
        <v>112</v>
      </c>
      <c r="B89" t="s">
        <v>113</v>
      </c>
      <c r="C89" t="e">
        <f>MATCH(A89,'variable definitions Stephen'!A:A,0)</f>
        <v>#N/A</v>
      </c>
    </row>
    <row r="90" spans="1:3" x14ac:dyDescent="0.25">
      <c r="A90" t="s">
        <v>246</v>
      </c>
      <c r="B90" t="s">
        <v>113</v>
      </c>
      <c r="C90" t="e">
        <f>MATCH(A90,'variable definitions Stephen'!A:A,0)</f>
        <v>#N/A</v>
      </c>
    </row>
    <row r="91" spans="1:3" x14ac:dyDescent="0.25">
      <c r="A91" t="s">
        <v>214</v>
      </c>
      <c r="B91" t="s">
        <v>113</v>
      </c>
      <c r="C91" t="e">
        <f>MATCH(A91,'variable definitions Stephen'!A:A,0)</f>
        <v>#N/A</v>
      </c>
    </row>
    <row r="92" spans="1:3" x14ac:dyDescent="0.25">
      <c r="A92" t="s">
        <v>247</v>
      </c>
      <c r="B92" t="s">
        <v>113</v>
      </c>
      <c r="C92" t="e">
        <f>MATCH(A92,'variable definitions Stephen'!A:A,0)</f>
        <v>#N/A</v>
      </c>
    </row>
    <row r="93" spans="1:3" x14ac:dyDescent="0.25">
      <c r="A93" t="s">
        <v>116</v>
      </c>
      <c r="B93" t="s">
        <v>89</v>
      </c>
      <c r="C93" t="e">
        <f>MATCH(A93,'variable definitions Stephen'!A:A,0)</f>
        <v>#N/A</v>
      </c>
    </row>
    <row r="94" spans="1:3" x14ac:dyDescent="0.25">
      <c r="A94" t="s">
        <v>248</v>
      </c>
      <c r="B94" t="s">
        <v>89</v>
      </c>
      <c r="C94" t="e">
        <f>MATCH(A94,'variable definitions Stephen'!A:A,0)</f>
        <v>#N/A</v>
      </c>
    </row>
    <row r="95" spans="1:3" x14ac:dyDescent="0.25">
      <c r="A95" t="s">
        <v>88</v>
      </c>
      <c r="B95" t="s">
        <v>89</v>
      </c>
      <c r="C95">
        <f>MATCH(A95,'variable definitions Stephen'!A:A,0)</f>
        <v>45</v>
      </c>
    </row>
    <row r="96" spans="1:3" x14ac:dyDescent="0.25">
      <c r="A96" t="s">
        <v>249</v>
      </c>
      <c r="B96" t="s">
        <v>89</v>
      </c>
      <c r="C96" t="e">
        <f>MATCH(A96,'variable definitions Stephen'!A:A,0)</f>
        <v>#N/A</v>
      </c>
    </row>
    <row r="97" spans="1:3" x14ac:dyDescent="0.25">
      <c r="A97" t="s">
        <v>250</v>
      </c>
      <c r="B97" t="s">
        <v>251</v>
      </c>
      <c r="C97" t="e">
        <f>MATCH(A97,'variable definitions Stephen'!A:A,0)</f>
        <v>#N/A</v>
      </c>
    </row>
    <row r="98" spans="1:3" x14ac:dyDescent="0.25">
      <c r="A98" t="s">
        <v>252</v>
      </c>
      <c r="B98" t="s">
        <v>253</v>
      </c>
      <c r="C98" t="e">
        <f>MATCH(A98,'variable definitions Stephen'!A:A,0)</f>
        <v>#N/A</v>
      </c>
    </row>
    <row r="99" spans="1:3" x14ac:dyDescent="0.25">
      <c r="A99" t="s">
        <v>117</v>
      </c>
      <c r="B99" t="s">
        <v>91</v>
      </c>
      <c r="C99" t="e">
        <f>MATCH(A99,'variable definitions Stephen'!A:A,0)</f>
        <v>#N/A</v>
      </c>
    </row>
    <row r="100" spans="1:3" x14ac:dyDescent="0.25">
      <c r="A100" t="s">
        <v>254</v>
      </c>
      <c r="B100" t="s">
        <v>91</v>
      </c>
      <c r="C100" t="e">
        <f>MATCH(A100,'variable definitions Stephen'!A:A,0)</f>
        <v>#N/A</v>
      </c>
    </row>
    <row r="101" spans="1:3" x14ac:dyDescent="0.25">
      <c r="A101" t="s">
        <v>90</v>
      </c>
      <c r="B101" t="s">
        <v>91</v>
      </c>
      <c r="C101">
        <f>MATCH(A101,'variable definitions Stephen'!A:A,0)</f>
        <v>46</v>
      </c>
    </row>
    <row r="102" spans="1:3" x14ac:dyDescent="0.25">
      <c r="A102" t="s">
        <v>125</v>
      </c>
      <c r="B102" t="s">
        <v>93</v>
      </c>
      <c r="C102" t="e">
        <f>MATCH(A102,'variable definitions Stephen'!A:A,0)</f>
        <v>#N/A</v>
      </c>
    </row>
    <row r="103" spans="1:3" x14ac:dyDescent="0.25">
      <c r="A103" t="s">
        <v>255</v>
      </c>
      <c r="B103" t="s">
        <v>93</v>
      </c>
      <c r="C103" t="e">
        <f>MATCH(A103,'variable definitions Stephen'!A:A,0)</f>
        <v>#N/A</v>
      </c>
    </row>
    <row r="104" spans="1:3" x14ac:dyDescent="0.25">
      <c r="A104" t="s">
        <v>92</v>
      </c>
      <c r="B104" t="s">
        <v>93</v>
      </c>
      <c r="C104">
        <f>MATCH(A104,'variable definitions Stephen'!A:A,0)</f>
        <v>47</v>
      </c>
    </row>
    <row r="105" spans="1:3" x14ac:dyDescent="0.25">
      <c r="A105" t="s">
        <v>101</v>
      </c>
      <c r="B105" t="s">
        <v>95</v>
      </c>
      <c r="C105" t="e">
        <f>MATCH(A105,'variable definitions Stephen'!A:A,0)</f>
        <v>#N/A</v>
      </c>
    </row>
    <row r="106" spans="1:3" x14ac:dyDescent="0.25">
      <c r="A106" t="s">
        <v>256</v>
      </c>
      <c r="B106" t="s">
        <v>95</v>
      </c>
      <c r="C106" t="e">
        <f>MATCH(A106,'variable definitions Stephen'!A:A,0)</f>
        <v>#N/A</v>
      </c>
    </row>
    <row r="107" spans="1:3" x14ac:dyDescent="0.25">
      <c r="A107" t="s">
        <v>94</v>
      </c>
      <c r="B107" t="s">
        <v>95</v>
      </c>
      <c r="C107">
        <f>MATCH(A107,'variable definitions Stephen'!A:A,0)</f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variable definitions Stephen</vt:lpstr>
      <vt:lpstr>variable labels Stephen</vt:lpstr>
      <vt:lpstr>variable definitions Maya</vt:lpstr>
      <vt:lpstr>variable labels Maya</vt:lpstr>
      <vt:lpstr>variable definitions Stephen2</vt:lpstr>
      <vt:lpstr>variable labels Stephen2</vt:lpstr>
      <vt:lpstr>COICP transport</vt:lpstr>
      <vt:lpstr>Sheet1</vt:lpstr>
      <vt:lpstr>Motoring expenditure RPI</vt:lpstr>
      <vt:lpstr>fares expenditure total</vt:lpstr>
      <vt:lpstr>codes starting 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DavidHawkey</dc:creator>
  <cp:lastModifiedBy>David Hawkey</cp:lastModifiedBy>
  <dcterms:created xsi:type="dcterms:W3CDTF">2025-04-13T10:17:10Z</dcterms:created>
  <dcterms:modified xsi:type="dcterms:W3CDTF">2025-05-30T14:18:21Z</dcterms:modified>
</cp:coreProperties>
</file>